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nil Fashion\Desktop\excel work\"/>
    </mc:Choice>
  </mc:AlternateContent>
  <xr:revisionPtr revIDLastSave="0" documentId="8_{D03021B7-A5B8-4D75-A7AD-58CB8C195916}" xr6:coauthVersionLast="47" xr6:coauthVersionMax="47" xr10:uidLastSave="{00000000-0000-0000-0000-000000000000}"/>
  <bookViews>
    <workbookView xWindow="-120" yWindow="-120" windowWidth="20730" windowHeight="11040" activeTab="1" xr2:uid="{00000000-000D-0000-FFFF-FFFF00000000}"/>
  </bookViews>
  <sheets>
    <sheet name="Data sheet" sheetId="1" r:id="rId1"/>
    <sheet name="Dashboard" sheetId="5" r:id="rId2"/>
    <sheet name="Analysis_risk" sheetId="6" r:id="rId3"/>
  </sheets>
  <definedNames>
    <definedName name="Slicer_Supplier">#N/A</definedName>
  </definedNames>
  <calcPr calcId="191028"/>
  <pivotCaches>
    <pivotCache cacheId="0" r:id="rId4"/>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1" l="1"/>
  <c r="N4" i="1" a="1"/>
  <c r="N4" i="1" s="1"/>
  <c r="L6" i="1" a="1"/>
  <c r="L6" i="1" s="1"/>
  <c r="M6" i="1" s="1"/>
  <c r="J4" i="1" a="1"/>
  <c r="J4" i="1" s="1"/>
  <c r="K4" i="1" s="1" a="1"/>
  <c r="K4" i="1" s="1"/>
  <c r="I5" i="1"/>
  <c r="I6" i="1"/>
  <c r="I7" i="1"/>
  <c r="I8" i="1"/>
  <c r="I9" i="1"/>
  <c r="I4" i="1"/>
  <c r="H5" i="1"/>
  <c r="H6" i="1"/>
  <c r="H7" i="1"/>
  <c r="H8" i="1"/>
  <c r="H9" i="1"/>
  <c r="P5" i="1" l="1"/>
  <c r="P11" i="1"/>
  <c r="M7" i="1"/>
  <c r="P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<sst xmlns="http://schemas.openxmlformats.org/spreadsheetml/2006/main" count="57" uniqueCount="37">
  <si>
    <t>Item</t>
  </si>
  <si>
    <t>Cost per unit</t>
  </si>
  <si>
    <t>Quantity</t>
  </si>
  <si>
    <t xml:space="preserve">Reorder level </t>
  </si>
  <si>
    <t>laptop</t>
  </si>
  <si>
    <t>mouse</t>
  </si>
  <si>
    <t>keyboard</t>
  </si>
  <si>
    <t>monitor</t>
  </si>
  <si>
    <t>ptinter</t>
  </si>
  <si>
    <t>router</t>
  </si>
  <si>
    <t>supplier c</t>
  </si>
  <si>
    <t>supplier a</t>
  </si>
  <si>
    <t>supplier b</t>
  </si>
  <si>
    <t>Stock status</t>
  </si>
  <si>
    <t xml:space="preserve">Inventory value </t>
  </si>
  <si>
    <t>Row Labels</t>
  </si>
  <si>
    <t>Grand Total</t>
  </si>
  <si>
    <t>Sum of Cost per unit</t>
  </si>
  <si>
    <t>sales per month</t>
  </si>
  <si>
    <t>month of stock left</t>
  </si>
  <si>
    <t xml:space="preserve">Sum of Inventory value </t>
  </si>
  <si>
    <t>Reorder quantity</t>
  </si>
  <si>
    <t xml:space="preserve">Inventory risk </t>
  </si>
  <si>
    <t>Restock cost</t>
  </si>
  <si>
    <t>high risk</t>
  </si>
  <si>
    <t>medium risk</t>
  </si>
  <si>
    <t>safe</t>
  </si>
  <si>
    <t>Count of Item</t>
  </si>
  <si>
    <t xml:space="preserve">Items needing restock </t>
  </si>
  <si>
    <t>Total restock cost</t>
  </si>
  <si>
    <t xml:space="preserve">Average months of stock </t>
  </si>
  <si>
    <t>Total products</t>
  </si>
  <si>
    <t>KPI VALUE</t>
  </si>
  <si>
    <t xml:space="preserve">Total inventory value </t>
  </si>
  <si>
    <t>Inventory turnover</t>
  </si>
  <si>
    <t>printer</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</si>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</sst>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3" x14ac:knownFonts="1">
    <font>
      <sz val="11"/>
      <color theme="1"/>
      <name val="Calibri"/>
      <family val="2"/>
      <scheme val="minor"/>
    </font>
    <font>
      <b/>
      <sz val="11"/>
      <color theme="1"/>
      <name val="Calibri"/>
      <scheme val="minor"/>
    </font>
    <font>
      <sz val="11"/>
      <color rgb="FFFF0000"/>
      <name val="Calibri"/>
      <family val="2"/>
      <scheme val="minor"/>
    </font>
    <font>
      <b/>
      <sz val="11"/>
      <color rgb="FFFF0000"/>
      <name val="Calibri"/>
      <scheme val="minor"/>
    </font>
    <font>
      <b/>
      <sz val="18"/>
      <color theme="1"/>
      <name val="Calibri"/>
      <family val="2"/>
      <scheme val="minor"/>
    </font>
    <font>
      <sz val="18"/>
      <color theme="1"/>
      <name val="Calibri"/>
      <family val="2"/>
      <scheme val="minor"/>
    </font>
    <font>
      <sz val="11"/>
      <color rgb="FF006100"/>
      <name val="Calibri"/>
      <family val="2"/>
      <scheme val="minor"/>
    </font>
    <font>
      <b/>
      <sz val="11"/>
      <color theme="1"/>
      <name val="Calibri"/>
      <family val="2"/>
      <scheme val="minor"/>
    </font>
    <font>
      <b/>
      <sz val="24"/>
      <color theme="1"/>
      <name val="Calibri"/>
      <family val="2"/>
      <scheme val="minor"/>
    </font>
    <font>
      <b/>
      <sz val="11"/>
      <name val="Calibri"/>
      <family val="2"/>
      <scheme val="minor"/>
    </font>
    <font>
      <sz val="12"/>
      <color theme="1"/>
      <name val="Calibri"/>
      <family val="2"/>
      <scheme val="minor"/>
    </font>
    <font>
      <b/>
      <sz val="12"/>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2" fillId="0" borderId="0" applyNumberFormat="0" applyFill="0" applyBorder="0" applyAlignment="0" applyProtection="0"/>
    <xf numFmtId="0" fontId="6" fillId="2" borderId="0" applyNumberFormat="0" applyBorder="0" applyAlignment="0" applyProtection="0"/>
  </cellStyleXfs>
  <cellXfs count="23">
    <xf numFmtId="0" fontId="0" fillId="0" borderId="0" xfId="0"/>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0" xfId="0" applyAlignment="1">
      <alignment horizontal="left" indent="1"/>
    </xf>
    <xf numFmtId="0" fontId="3" fillId="0" borderId="0" xfId="1" applyFont="1"/>
    <xf numFmtId="0" fontId="2" fillId="0" borderId="0" xfId="1"/>
    <xf numFmtId="0" fontId="4" fillId="0" borderId="0" xfId="0" applyFont="1" applyAlignment="1">
      <alignment horizontal="center"/>
    </xf>
    <xf numFmtId="0" fontId="4" fillId="0" borderId="0" xfId="0" applyFont="1"/>
    <xf numFmtId="0" fontId="5" fillId="0" borderId="0" xfId="0" applyFont="1"/>
    <xf numFmtId="0" fontId="8" fillId="0" borderId="0" xfId="0" applyFont="1" applyAlignment="1">
      <alignment horizontal="center"/>
    </xf>
    <xf numFmtId="0" fontId="7" fillId="0" borderId="0" xfId="0" applyFont="1" applyAlignment="1">
      <alignment horizontal="left"/>
    </xf>
    <xf numFmtId="0" fontId="6" fillId="2" borderId="1" xfId="2" applyBorder="1"/>
    <xf numFmtId="164" fontId="0" fillId="0" borderId="0" xfId="0" applyNumberFormat="1"/>
    <xf numFmtId="0" fontId="6" fillId="2" borderId="0" xfId="2" applyBorder="1"/>
    <xf numFmtId="0" fontId="9" fillId="0" borderId="0" xfId="1" applyFont="1"/>
    <xf numFmtId="0" fontId="10" fillId="0" borderId="0" xfId="0" applyFont="1"/>
    <xf numFmtId="0" fontId="11" fillId="0" borderId="0" xfId="0" applyFont="1" applyAlignment="1">
      <alignment horizontal="left"/>
    </xf>
    <xf numFmtId="0" fontId="12" fillId="0" borderId="0" xfId="0" applyFont="1" applyAlignment="1"/>
    <xf numFmtId="0" fontId="4" fillId="0" borderId="0" xfId="0" applyFont="1" applyAlignment="1"/>
    <xf numFmtId="164" fontId="11" fillId="0" borderId="0" xfId="0" applyNumberFormat="1" applyFont="1" applyAlignment="1">
      <alignment horizontal="left"/>
    </xf>
  </cellXfs>
  <cellStyles count="3">
    <cellStyle name="Good" xfId="2" builtinId="26"/>
    <cellStyle name="Normal" xfId="0" builtinId="0"/>
    <cellStyle name="Warning Text" xfId="1" builtinId="11"/>
  </cellStyles>
  <dxfs count="24">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24"/>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24"/>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24"/>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24"/>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24"/>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24"/>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8"/>
        <color theme="1"/>
        <name val="Calibri"/>
        <family val="2"/>
        <scheme val="minor"/>
      </font>
      <numFmt numFmtId="164" formatCode="&quot;₹&quot;\ #,##0"/>
    </dxf>
    <dxf>
      <font>
        <b/>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b/>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b/>
        <i val="0"/>
        <strike val="0"/>
        <condense val="0"/>
        <extend val="0"/>
        <outline val="0"/>
        <shadow val="0"/>
        <u val="none"/>
        <vertAlign val="baseline"/>
        <sz val="18"/>
        <color theme="1"/>
        <name val="Calibri"/>
        <family val="2"/>
        <scheme val="minor"/>
      </font>
      <alignment horizontal="center"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2.xlsx]Dashboard!PivotTable3</c:name>
    <c:fmtId val="6"/>
  </c:pivotSource>
  <c:chart>
    <c:autoTitleDeleted val="0"/>
    <c:pivotFmts>
      <c:pivotFmt>
        <c:idx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Dashboard!$B$3</c:f>
              <c:strCache>
                <c:ptCount val="1"/>
                <c:pt idx="0">
                  <c:v>Sum of Cost per unit</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38100" dist="25400" dir="5400000" rotWithShape="0">
                <a:srgbClr val="000000">
                  <a:alpha val="55000"/>
                </a:srgbClr>
              </a:outerShdw>
            </a:effectLst>
          </c:spPr>
          <c:invertIfNegative val="0"/>
          <c:cat>
            <c:multiLvlStrRef>
              <c:f>Dashboard!$A$4:$A$13</c:f>
              <c:multiLvlStrCache>
                <c:ptCount val="6"/>
                <c:lvl>
                  <c:pt idx="0">
                    <c:v>laptop</c:v>
                  </c:pt>
                  <c:pt idx="1">
                    <c:v>ptinter</c:v>
                  </c:pt>
                  <c:pt idx="2">
                    <c:v>keyboard</c:v>
                  </c:pt>
                  <c:pt idx="3">
                    <c:v>mouse</c:v>
                  </c:pt>
                  <c:pt idx="4">
                    <c:v>monitor</c:v>
                  </c:pt>
                  <c:pt idx="5">
                    <c:v>router</c:v>
                  </c:pt>
                </c:lvl>
                <c:lvl>
                  <c:pt idx="0">
                    <c:v>supplier a</c:v>
                  </c:pt>
                  <c:pt idx="2">
                    <c:v>supplier b</c:v>
                  </c:pt>
                  <c:pt idx="4">
                    <c:v>supplier c</c:v>
                  </c:pt>
                </c:lvl>
              </c:multiLvlStrCache>
            </c:multiLvlStrRef>
          </c:cat>
          <c:val>
            <c:numRef>
              <c:f>Dashboard!$B$4:$B$13</c:f>
              <c:numCache>
                <c:formatCode>General</c:formatCode>
                <c:ptCount val="6"/>
                <c:pt idx="0">
                  <c:v>50000</c:v>
                </c:pt>
                <c:pt idx="1">
                  <c:v>15000</c:v>
                </c:pt>
                <c:pt idx="2">
                  <c:v>800</c:v>
                </c:pt>
                <c:pt idx="3">
                  <c:v>400</c:v>
                </c:pt>
                <c:pt idx="4">
                  <c:v>12000</c:v>
                </c:pt>
                <c:pt idx="5">
                  <c:v>3000</c:v>
                </c:pt>
              </c:numCache>
            </c:numRef>
          </c:val>
          <c:extLst>
            <c:ext xmlns:c16="http://schemas.microsoft.com/office/drawing/2014/chart" uri="{C3380CC4-5D6E-409C-BE32-E72D297353CC}">
              <c16:uniqueId val="{00000000-DFD9-4092-ACB6-4FC7A5A09AB3}"/>
            </c:ext>
          </c:extLst>
        </c:ser>
        <c:ser>
          <c:idx val="1"/>
          <c:order val="1"/>
          <c:tx>
            <c:strRef>
              <c:f>Dashboard!$C$3</c:f>
              <c:strCache>
                <c:ptCount val="1"/>
                <c:pt idx="0">
                  <c:v>Sum of Inventory value </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38100" dist="25400" dir="5400000" rotWithShape="0">
                <a:srgbClr val="000000">
                  <a:alpha val="55000"/>
                </a:srgbClr>
              </a:outerShdw>
            </a:effectLst>
          </c:spPr>
          <c:invertIfNegative val="0"/>
          <c:cat>
            <c:multiLvlStrRef>
              <c:f>Dashboard!$A$4:$A$13</c:f>
              <c:multiLvlStrCache>
                <c:ptCount val="6"/>
                <c:lvl>
                  <c:pt idx="0">
                    <c:v>laptop</c:v>
                  </c:pt>
                  <c:pt idx="1">
                    <c:v>ptinter</c:v>
                  </c:pt>
                  <c:pt idx="2">
                    <c:v>keyboard</c:v>
                  </c:pt>
                  <c:pt idx="3">
                    <c:v>mouse</c:v>
                  </c:pt>
                  <c:pt idx="4">
                    <c:v>monitor</c:v>
                  </c:pt>
                  <c:pt idx="5">
                    <c:v>router</c:v>
                  </c:pt>
                </c:lvl>
                <c:lvl>
                  <c:pt idx="0">
                    <c:v>supplier a</c:v>
                  </c:pt>
                  <c:pt idx="2">
                    <c:v>supplier b</c:v>
                  </c:pt>
                  <c:pt idx="4">
                    <c:v>supplier c</c:v>
                  </c:pt>
                </c:lvl>
              </c:multiLvlStrCache>
            </c:multiLvlStrRef>
          </c:cat>
          <c:val>
            <c:numRef>
              <c:f>Dashboard!$C$4:$C$13</c:f>
              <c:numCache>
                <c:formatCode>General</c:formatCode>
                <c:ptCount val="6"/>
                <c:pt idx="0">
                  <c:v>600000</c:v>
                </c:pt>
                <c:pt idx="1">
                  <c:v>105000</c:v>
                </c:pt>
                <c:pt idx="2">
                  <c:v>16000</c:v>
                </c:pt>
                <c:pt idx="3">
                  <c:v>20000</c:v>
                </c:pt>
                <c:pt idx="4">
                  <c:v>60000</c:v>
                </c:pt>
                <c:pt idx="5">
                  <c:v>90000</c:v>
                </c:pt>
              </c:numCache>
            </c:numRef>
          </c:val>
          <c:extLst>
            <c:ext xmlns:c16="http://schemas.microsoft.com/office/drawing/2014/chart" uri="{C3380CC4-5D6E-409C-BE32-E72D297353CC}">
              <c16:uniqueId val="{00000001-DFD9-4092-ACB6-4FC7A5A09AB3}"/>
            </c:ext>
          </c:extLst>
        </c:ser>
        <c:dLbls>
          <c:showLegendKey val="0"/>
          <c:showVal val="0"/>
          <c:showCatName val="0"/>
          <c:showSerName val="0"/>
          <c:showPercent val="0"/>
          <c:showBubbleSize val="0"/>
        </c:dLbls>
        <c:gapWidth val="150"/>
        <c:overlap val="100"/>
        <c:axId val="842997231"/>
        <c:axId val="842999311"/>
      </c:barChart>
      <c:catAx>
        <c:axId val="84299723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2999311"/>
        <c:crosses val="autoZero"/>
        <c:auto val="1"/>
        <c:lblAlgn val="ctr"/>
        <c:lblOffset val="100"/>
        <c:noMultiLvlLbl val="0"/>
      </c:catAx>
      <c:valAx>
        <c:axId val="8429993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299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2.xlsx]Analysis_risk!PivotTable1</c:name>
    <c:fmtId val="18"/>
  </c:pivotSource>
  <c:chart>
    <c:title>
      <c:overlay val="0"/>
      <c:spPr>
        <a:noFill/>
        <a:ln>
          <a:noFill/>
        </a:ln>
        <a:effectLst/>
      </c:spPr>
      <c:txPr>
        <a:bodyPr rot="0" spcFirstLastPara="1" vertOverflow="ellipsis" vert="horz" wrap="square" anchor="ctr" anchorCtr="1"/>
        <a:lstStyle/>
        <a:p>
          <a:pPr>
            <a:defRPr sz="108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Analysis_risk!$B$3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D22-44D1-BE57-AE3A10BCDEF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D22-44D1-BE57-AE3A10BCDEF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D22-44D1-BE57-AE3A10BCDE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Analysis_risk!$A$4:$A$7</c:f>
              <c:strCache>
                <c:ptCount val="3"/>
                <c:pt idx="0">
                  <c:v>high risk</c:v>
                </c:pt>
                <c:pt idx="1">
                  <c:v>medium risk</c:v>
                </c:pt>
                <c:pt idx="2">
                  <c:v>safe</c:v>
                </c:pt>
              </c:strCache>
            </c:strRef>
          </c:cat>
          <c:val>
            <c:numRef>
              <c:f>Analysis_risk!$B$4:$B$7</c:f>
              <c:numCache>
                <c:formatCode>General</c:formatCode>
                <c:ptCount val="3"/>
                <c:pt idx="0">
                  <c:v>1</c:v>
                </c:pt>
                <c:pt idx="1">
                  <c:v>3</c:v>
                </c:pt>
                <c:pt idx="2">
                  <c:v>2</c:v>
                </c:pt>
              </c:numCache>
            </c:numRef>
          </c:val>
          <c:extLst>
            <c:ext xmlns:c16="http://schemas.microsoft.com/office/drawing/2014/chart" uri="{C3380CC4-5D6E-409C-BE32-E72D297353CC}">
              <c16:uniqueId val="{00000006-ED22-44D1-BE57-AE3A10BCDEF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120494313210851"/>
          <c:y val="0.37791083406240883"/>
          <c:w val="0.17212839020122483"/>
          <c:h val="0.2303565179352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309562</xdr:colOff>
      <xdr:row>1</xdr:row>
      <xdr:rowOff>209550</xdr:rowOff>
    </xdr:from>
    <xdr:to>
      <xdr:col>11</xdr:col>
      <xdr:colOff>404812</xdr:colOff>
      <xdr:row>14</xdr:row>
      <xdr:rowOff>104775</xdr:rowOff>
    </xdr:to>
    <xdr:graphicFrame macro="">
      <xdr:nvGraphicFramePr>
        <xdr:cNvPr id="2" name="Chart 1">
          <a:extLst>
            <a:ext uri="{FF2B5EF4-FFF2-40B4-BE49-F238E27FC236}">
              <a16:creationId xmlns:a16="http://schemas.microsoft.com/office/drawing/2014/main" id="{E11E9F91-2F46-4EF2-8E59-622400E23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247650</xdr:colOff>
      <xdr:row>2</xdr:row>
      <xdr:rowOff>9526</xdr:rowOff>
    </xdr:from>
    <xdr:to>
      <xdr:col>14</xdr:col>
      <xdr:colOff>457200</xdr:colOff>
      <xdr:row>8</xdr:row>
      <xdr:rowOff>85725</xdr:rowOff>
    </xdr:to>
    <mc:AlternateContent xmlns:mc="http://schemas.openxmlformats.org/markup-compatibility/2006" xmlns:a14="http://schemas.microsoft.com/office/drawing/2010/main">
      <mc:Choice Requires="a14">
        <xdr:graphicFrame macro="">
          <xdr:nvGraphicFramePr>
            <xdr:cNvPr id="3" name="Supplier">
              <a:extLst>
                <a:ext uri="{FF2B5EF4-FFF2-40B4-BE49-F238E27FC236}">
                  <a16:creationId xmlns:a16="http://schemas.microsoft.com/office/drawing/2014/main" id="{1252B917-2C68-4AD2-8FBC-D39837853EC5}"/>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8782050" y="390526"/>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33337</xdr:colOff>
      <xdr:row>14</xdr:row>
      <xdr:rowOff>161925</xdr:rowOff>
    </xdr:from>
    <xdr:to>
      <xdr:col>11</xdr:col>
      <xdr:colOff>423862</xdr:colOff>
      <xdr:row>27</xdr:row>
      <xdr:rowOff>85725</xdr:rowOff>
    </xdr:to>
    <xdr:graphicFrame macro="">
      <xdr:nvGraphicFramePr>
        <xdr:cNvPr id="4" name="Chart 1">
          <a:extLst>
            <a:ext uri="{FF2B5EF4-FFF2-40B4-BE49-F238E27FC236}">
              <a16:creationId xmlns:a16="http://schemas.microsoft.com/office/drawing/2014/main" id="{ED6F117C-2CF9-45D8-92A4-E2F5C964D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Fashion" refreshedDate="46091.850480208333" createdVersion="7" refreshedVersion="7" minRefreshableVersion="3" recordCount="7" xr:uid="{6094F372-9131-4892-949F-F571A78949F0}">
  <cacheSource type="worksheet">
    <worksheetSource ref="B3:J10" sheet="Data sheet"/>
  </cacheSource>
  <cacheFields count="9">
    <cacheField name="Item" numFmtId="0">
      <sharedItems containsBlank="1" count="7">
        <s v="laptop"/>
        <s v="mouse"/>
        <s v="keyboard"/>
        <s v="monitor"/>
        <s v="ptinter"/>
        <s v="router"/>
        <m/>
      </sharedItems>
    </cacheField>
    <cacheField name="Supplier" numFmtId="0">
      <sharedItems containsBlank="1" count="4">
        <s v="supplier a"/>
        <s v="supplier b"/>
        <s v="supplier c"/>
        <m/>
      </sharedItems>
    </cacheField>
    <cacheField name="Cost per unit" numFmtId="0">
      <sharedItems containsString="0" containsBlank="1" containsNumber="1" containsInteger="1" minValue="400" maxValue="50000" count="7">
        <n v="50000"/>
        <n v="400"/>
        <n v="800"/>
        <n v="12000"/>
        <n v="15000"/>
        <n v="3000"/>
        <m/>
      </sharedItems>
    </cacheField>
    <cacheField name="sales per month" numFmtId="0">
      <sharedItems containsString="0" containsBlank="1" containsNumber="1" containsInteger="1" minValue="2" maxValue="20"/>
    </cacheField>
    <cacheField name="Quantity" numFmtId="0">
      <sharedItems containsString="0" containsBlank="1" containsNumber="1" containsInteger="1" minValue="5" maxValue="50"/>
    </cacheField>
    <cacheField name="Reorder level " numFmtId="0">
      <sharedItems containsString="0" containsBlank="1" containsNumber="1" containsInteger="1" minValue="6" maxValue="40"/>
    </cacheField>
    <cacheField name="Inventory value " numFmtId="0">
      <sharedItems containsString="0" containsBlank="1" containsNumber="1" containsInteger="1" minValue="16000" maxValue="600000"/>
    </cacheField>
    <cacheField name="Stock status" numFmtId="0">
      <sharedItems containsBlank="1"/>
    </cacheField>
    <cacheField name="month of stock left" numFmtId="0">
      <sharedItems containsString="0" containsBlank="1" containsNumber="1" minValue="2" maxValue="4"/>
    </cacheField>
  </cacheFields>
  <extLst>
    <ext xmlns:x14="http://schemas.microsoft.com/office/spreadsheetml/2009/9/main" uri="{725AE2AE-9491-48be-B2B4-4EB974FC3084}">
      <x14:pivotCacheDefinition pivotCacheId="12148694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Fashion" refreshedDate="46109.581869444446" createdVersion="7" refreshedVersion="7" minRefreshableVersion="3" recordCount="8" xr:uid="{6DAD9A16-60FB-499C-A0B1-E60B3B3C7105}">
  <cacheSource type="worksheet">
    <worksheetSource ref="B3:M11" sheet="Data sheet"/>
  </cacheSource>
  <cacheFields count="12">
    <cacheField name="Item" numFmtId="0">
      <sharedItems containsBlank="1"/>
    </cacheField>
    <cacheField name="supplier b" numFmtId="0">
      <sharedItems containsBlank="1"/>
    </cacheField>
    <cacheField name="Cost per unit" numFmtId="0">
      <sharedItems containsString="0" containsBlank="1" containsNumber="1" containsInteger="1" minValue="400" maxValue="50000"/>
    </cacheField>
    <cacheField name="sales per month" numFmtId="0">
      <sharedItems containsString="0" containsBlank="1" containsNumber="1" containsInteger="1" minValue="2" maxValue="20"/>
    </cacheField>
    <cacheField name="Quantity" numFmtId="0">
      <sharedItems containsString="0" containsBlank="1" containsNumber="1" containsInteger="1" minValue="5" maxValue="50"/>
    </cacheField>
    <cacheField name="Reorder level " numFmtId="0">
      <sharedItems containsString="0" containsBlank="1" containsNumber="1" containsInteger="1" minValue="6" maxValue="40"/>
    </cacheField>
    <cacheField name="Inventory value " numFmtId="0">
      <sharedItems containsString="0" containsBlank="1" containsNumber="1" containsInteger="1" minValue="16000" maxValue="600000"/>
    </cacheField>
    <cacheField name="Stock status" numFmtId="0">
      <sharedItems containsBlank="1"/>
    </cacheField>
    <cacheField name="month of stock left" numFmtId="0">
      <sharedItems containsString="0" containsBlank="1" containsNumber="1" minValue="2" maxValue="4"/>
    </cacheField>
    <cacheField name="Inventory risk " numFmtId="0">
      <sharedItems containsBlank="1" count="4">
        <s v="safe"/>
        <s v="medium risk"/>
        <s v="high risk"/>
        <m/>
      </sharedItems>
    </cacheField>
    <cacheField name="Reorder quantity" numFmtId="0">
      <sharedItems containsString="0" containsBlank="1" containsNumber="1" containsInteger="1" minValue="3" maxValue="5"/>
    </cacheField>
    <cacheField name="Restock cost" numFmtId="0">
      <sharedItems containsString="0" containsBlank="1" containsNumber="1" containsInteger="1" minValue="4000" maxValue="36000"/>
    </cacheField>
  </cacheFields>
  <extLst>
    <ext xmlns:x14="http://schemas.microsoft.com/office/spreadsheetml/2009/9/main" uri="{725AE2AE-9491-48be-B2B4-4EB974FC3084}">
      <x14:pivotCacheDefinition pivotCacheId="17610805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n v="3"/>
    <n v="12"/>
    <n v="10"/>
    <n v="600000"/>
    <s v="stock ok"/>
    <n v="4"/>
  </r>
  <r>
    <x v="1"/>
    <x v="1"/>
    <x v="1"/>
    <n v="20"/>
    <n v="50"/>
    <n v="40"/>
    <n v="20000"/>
    <s v="stock ok"/>
    <n v="2.5"/>
  </r>
  <r>
    <x v="2"/>
    <x v="1"/>
    <x v="2"/>
    <n v="10"/>
    <n v="20"/>
    <n v="25"/>
    <n v="16000"/>
    <s v="stock needed"/>
    <n v="2"/>
  </r>
  <r>
    <x v="3"/>
    <x v="2"/>
    <x v="3"/>
    <n v="2"/>
    <n v="5"/>
    <n v="8"/>
    <n v="60000"/>
    <s v="stock needed"/>
    <n v="2.5"/>
  </r>
  <r>
    <x v="4"/>
    <x v="0"/>
    <x v="4"/>
    <n v="2"/>
    <n v="7"/>
    <n v="6"/>
    <n v="105000"/>
    <s v="stock ok"/>
    <n v="3.5"/>
  </r>
  <r>
    <x v="5"/>
    <x v="2"/>
    <x v="5"/>
    <n v="8"/>
    <n v="30"/>
    <n v="20"/>
    <n v="90000"/>
    <s v="stock ok"/>
    <n v="3.75"/>
  </r>
  <r>
    <x v="6"/>
    <x v="3"/>
    <x v="6"/>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laptop"/>
    <s v="supplier a"/>
    <n v="50000"/>
    <n v="3"/>
    <n v="12"/>
    <n v="10"/>
    <n v="600000"/>
    <s v="stock ok"/>
    <n v="4"/>
    <x v="0"/>
    <m/>
    <m/>
  </r>
  <r>
    <s v="mouse"/>
    <s v="supplier b"/>
    <n v="400"/>
    <n v="20"/>
    <n v="50"/>
    <n v="40"/>
    <n v="20000"/>
    <s v="stock ok"/>
    <n v="2.5"/>
    <x v="1"/>
    <m/>
    <m/>
  </r>
  <r>
    <s v="keyboard"/>
    <s v="supplier b"/>
    <n v="800"/>
    <n v="10"/>
    <n v="20"/>
    <n v="25"/>
    <n v="16000"/>
    <s v="stock needed"/>
    <n v="2"/>
    <x v="2"/>
    <n v="5"/>
    <n v="4000"/>
  </r>
  <r>
    <s v="monitor"/>
    <s v="supplier c"/>
    <n v="12000"/>
    <n v="2"/>
    <n v="5"/>
    <n v="8"/>
    <n v="60000"/>
    <s v="stock needed"/>
    <n v="2.5"/>
    <x v="1"/>
    <n v="3"/>
    <n v="36000"/>
  </r>
  <r>
    <s v="printer"/>
    <s v="supplier a"/>
    <n v="15000"/>
    <n v="2"/>
    <n v="7"/>
    <n v="6"/>
    <n v="105000"/>
    <s v="stock ok"/>
    <n v="3.5"/>
    <x v="1"/>
    <m/>
    <m/>
  </r>
  <r>
    <s v="router"/>
    <s v="supplier c"/>
    <n v="3000"/>
    <n v="8"/>
    <n v="30"/>
    <n v="20"/>
    <n v="90000"/>
    <s v="stock ok"/>
    <n v="3.75"/>
    <x v="0"/>
    <m/>
    <m/>
  </r>
  <r>
    <m/>
    <m/>
    <m/>
    <m/>
    <m/>
    <m/>
    <m/>
    <m/>
    <m/>
    <x v="3"/>
    <m/>
    <m/>
  </r>
  <r>
    <m/>
    <m/>
    <m/>
    <m/>
    <m/>
    <m/>
    <m/>
    <m/>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4A2B2B-37EE-4616-B44F-76156ADC77E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C13" firstHeaderRow="0" firstDataRow="1" firstDataCol="1"/>
  <pivotFields count="9">
    <pivotField axis="axisRow" showAll="0">
      <items count="8">
        <item x="2"/>
        <item x="0"/>
        <item x="3"/>
        <item x="1"/>
        <item x="4"/>
        <item x="5"/>
        <item h="1" x="6"/>
        <item t="default"/>
      </items>
    </pivotField>
    <pivotField axis="axisRow" showAll="0">
      <items count="5">
        <item x="0"/>
        <item x="1"/>
        <item x="2"/>
        <item x="3"/>
        <item t="default"/>
      </items>
    </pivotField>
    <pivotField dataField="1" showAll="0">
      <items count="8">
        <item x="1"/>
        <item x="2"/>
        <item x="5"/>
        <item x="3"/>
        <item x="4"/>
        <item x="0"/>
        <item x="6"/>
        <item t="default"/>
      </items>
    </pivotField>
    <pivotField showAll="0"/>
    <pivotField showAll="0"/>
    <pivotField showAll="0"/>
    <pivotField dataField="1" showAll="0"/>
    <pivotField showAll="0"/>
    <pivotField showAll="0"/>
  </pivotFields>
  <rowFields count="2">
    <field x="1"/>
    <field x="0"/>
  </rowFields>
  <rowItems count="10">
    <i>
      <x/>
    </i>
    <i r="1">
      <x v="1"/>
    </i>
    <i r="1">
      <x v="4"/>
    </i>
    <i>
      <x v="1"/>
    </i>
    <i r="1">
      <x/>
    </i>
    <i r="1">
      <x v="3"/>
    </i>
    <i>
      <x v="2"/>
    </i>
    <i r="1">
      <x v="2"/>
    </i>
    <i r="1">
      <x v="5"/>
    </i>
    <i t="grand">
      <x/>
    </i>
  </rowItems>
  <colFields count="1">
    <field x="-2"/>
  </colFields>
  <colItems count="2">
    <i>
      <x/>
    </i>
    <i i="1">
      <x v="1"/>
    </i>
  </colItems>
  <dataFields count="2">
    <dataField name="Sum of Cost per unit" fld="2" baseField="0" baseItem="0"/>
    <dataField name="Sum of Inventory value " fld="6" baseField="0" baseItem="0"/>
  </dataField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A78C3-83F0-4915-9E8E-2EAFD5AA6FE3}"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3:B7" firstHeaderRow="1" firstDataRow="1" firstDataCol="1"/>
  <pivotFields count="12">
    <pivotField dataField="1" showAll="0"/>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 showAll="0"/>
    <pivotField showAll="0"/>
  </pivotFields>
  <rowFields count="1">
    <field x="9"/>
  </rowFields>
  <rowItems count="4">
    <i>
      <x/>
    </i>
    <i>
      <x v="1"/>
    </i>
    <i>
      <x v="2"/>
    </i>
    <i t="grand">
      <x/>
    </i>
  </rowItems>
  <colItems count="1">
    <i/>
  </colItems>
  <dataFields count="1">
    <dataField name="Count of Item" fld="0" subtotal="count" baseField="0" baseItem="0"/>
  </dataFields>
  <chartFormats count="4">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9" count="1" selected="0">
            <x v="0"/>
          </reference>
        </references>
      </pivotArea>
    </chartFormat>
    <chartFormat chart="18" format="6">
      <pivotArea type="data" outline="0" fieldPosition="0">
        <references count="2">
          <reference field="4294967294" count="1" selected="0">
            <x v="0"/>
          </reference>
          <reference field="9" count="1" selected="0">
            <x v="1"/>
          </reference>
        </references>
      </pivotArea>
    </chartFormat>
    <chartFormat chart="18" format="7">
      <pivotArea type="data" outline="0" fieldPosition="0">
        <references count="2">
          <reference field="4294967294" count="1" selected="0">
            <x v="0"/>
          </reference>
          <reference field="9"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D061504F-D831-4109-8789-32EDA6F0C635}" sourceName="Supplier">
  <pivotTables>
    <pivotTable tabId="5" name="PivotTable3"/>
  </pivotTables>
  <data>
    <tabular pivotCacheId="1214869435">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22266FAF-1644-4F7C-BF00-CABE412ACE2F}" cache="Slicer_Supplier" caption="Suppli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AC95A0-FC91-4513-97F6-EC29E0047946}" name="Table1" displayName="Table1" ref="C14:E19" headerRowCount="0">
  <tableColumns count="3">
    <tableColumn id="1" xr3:uid="{0C3ABE66-709C-4539-9D87-24058F69944A}" name="Column1" totalsRowLabel="Total" headerRowDxfId="23" dataDxfId="22" totalsRowDxfId="21"/>
    <tableColumn id="2" xr3:uid="{65CD34FB-0EF5-4ADA-96BB-E5DAB7F35000}" name="Column2" headerRowDxfId="20" dataDxfId="19" totalsRowDxfId="18"/>
    <tableColumn id="3" xr3:uid="{A8AB04F0-44F4-48D5-8276-C30471FCEA17}" name="Column3" totalsRowFunction="count" headerRowDxfId="17" dataDxfId="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A2F163-CC5E-4353-B36B-FE2DCE196B78}" name="Table6" displayName="Table6" ref="P3:Q13" headerRowCount="0" headerRowDxfId="15" dataDxfId="14">
  <tableColumns count="2">
    <tableColumn id="1" xr3:uid="{EA59DD4F-5BBB-4F3C-88A0-1CA11E7EC77E}" name="Column1" totalsRowLabel="Total" headerRowDxfId="13" dataDxfId="12" totalsRowDxfId="11"/>
    <tableColumn id="2" xr3:uid="{8C6E49F2-C7DF-4747-AB74-01F28B646E2B}" name="Column2" headerRowDxfId="10" dataDxfId="9" totalsRowDxfId="8"/>
  </tableColumns>
  <tableStyleInfo name="TableStyleMedium24"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8BF3EA-5BD8-42C3-BAF0-E97AB4B075AD}" name="Table65" displayName="Table65" ref="N11:O21" headerRowCount="0" headerRowDxfId="7" dataDxfId="6">
  <tableColumns count="2">
    <tableColumn id="1" xr3:uid="{0BB0F1DB-8F37-40C1-BE15-6A517C35E748}" name="Column1" totalsRowLabel="Total" headerRowDxfId="4" dataDxfId="3" totalsRowDxfId="5"/>
    <tableColumn id="2" xr3:uid="{1D0BB619-0ED4-483D-B1B1-FC3495B47630}" name="Column2" headerRowDxfId="1" dataDxfId="0" totalsRowDxfId="2"/>
  </tableColumns>
  <tableStyleInfo name="TableStyleMedium24" showFirstColumn="1" showLastColumn="0" showRowStripes="1" showColumnStripes="0"/>
</table>
</file>

<file path=xl/theme/theme1.xml><?xml version="1.0" encoding="utf-8"?>
<a:theme xmlns:a="http://schemas.openxmlformats.org/drawingml/2006/main" name="Dividend">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R25"/>
  <sheetViews>
    <sheetView zoomScale="74" zoomScaleNormal="74" workbookViewId="0">
      <selection activeCell="P3" sqref="P3:Q13"/>
    </sheetView>
  </sheetViews>
  <sheetFormatPr defaultRowHeight="15" x14ac:dyDescent="0.25"/>
  <cols>
    <col min="1" max="1" width="6.42578125" customWidth="1"/>
    <col min="2" max="2" width="12.140625" customWidth="1"/>
    <col min="3" max="3" width="13.28515625" customWidth="1"/>
    <col min="4" max="4" width="15.85546875" customWidth="1"/>
    <col min="5" max="5" width="16.7109375" customWidth="1"/>
    <col min="6" max="6" width="10.5703125" customWidth="1"/>
    <col min="7" max="7" width="14.7109375" customWidth="1"/>
    <col min="8" max="8" width="16.85546875" customWidth="1"/>
    <col min="9" max="9" width="14.140625" customWidth="1"/>
    <col min="10" max="10" width="18.7109375" customWidth="1"/>
    <col min="11" max="11" width="14.7109375" customWidth="1"/>
    <col min="12" max="12" width="17.5703125" customWidth="1"/>
    <col min="13" max="13" width="14.42578125" customWidth="1"/>
    <col min="14" max="14" width="18.28515625" customWidth="1"/>
    <col min="15" max="15" width="10.7109375" customWidth="1"/>
    <col min="16" max="18" width="20" customWidth="1"/>
  </cols>
  <sheetData>
    <row r="3" spans="2:18" ht="31.5" x14ac:dyDescent="0.5">
      <c r="B3" s="14" t="s">
        <v>0</v>
      </c>
      <c r="C3" s="14" t="s">
        <v>12</v>
      </c>
      <c r="D3" s="14" t="s">
        <v>1</v>
      </c>
      <c r="E3" s="14" t="s">
        <v>18</v>
      </c>
      <c r="F3" s="14" t="s">
        <v>2</v>
      </c>
      <c r="G3" s="14" t="s">
        <v>3</v>
      </c>
      <c r="H3" s="14" t="s">
        <v>14</v>
      </c>
      <c r="I3" s="14" t="s">
        <v>13</v>
      </c>
      <c r="J3" s="14" t="s">
        <v>19</v>
      </c>
      <c r="K3" s="14" t="s">
        <v>22</v>
      </c>
      <c r="L3" s="14" t="s">
        <v>21</v>
      </c>
      <c r="M3" s="14" t="s">
        <v>23</v>
      </c>
      <c r="N3" s="16" t="s">
        <v>34</v>
      </c>
      <c r="P3" s="12" t="s">
        <v>32</v>
      </c>
      <c r="Q3" s="12"/>
      <c r="R3" s="12"/>
    </row>
    <row r="4" spans="2:18" ht="15.75" x14ac:dyDescent="0.25">
      <c r="B4" t="s">
        <v>4</v>
      </c>
      <c r="C4" t="s">
        <v>11</v>
      </c>
      <c r="D4" s="15">
        <v>50000</v>
      </c>
      <c r="E4">
        <v>3</v>
      </c>
      <c r="F4">
        <v>12</v>
      </c>
      <c r="G4">
        <v>10</v>
      </c>
      <c r="H4" s="15">
        <f t="shared" ref="H4:H9" si="0">D4*F4</f>
        <v>600000</v>
      </c>
      <c r="I4" t="str">
        <f t="shared" ref="I4:I9" si="1">IF(F4&lt;G4,"stock needed","stock ok")</f>
        <v>stock ok</v>
      </c>
      <c r="J4" cm="1">
        <f t="array" ref="J4:J9">F4:F9/E4:E9</f>
        <v>4</v>
      </c>
      <c r="K4" t="str" cm="1">
        <f t="array" ref="K4:K9">IF(_xlfn.ANCHORARRAY(J4)&lt;2.5,"high risk",IF(_xlfn.ANCHORARRAY(J4)&lt;3.75,"medium risk",IF(_xlfn.ANCHORARRAY(J4)&lt;5,"safe")))</f>
        <v>safe</v>
      </c>
      <c r="N4" cm="1">
        <f t="array" ref="N4:N9">E4:E9/F4:F9</f>
        <v>0.25</v>
      </c>
      <c r="P4" s="18" t="s">
        <v>33</v>
      </c>
    </row>
    <row r="5" spans="2:18" ht="15.75" x14ac:dyDescent="0.25">
      <c r="B5" t="s">
        <v>5</v>
      </c>
      <c r="C5" t="s">
        <v>12</v>
      </c>
      <c r="D5" s="15">
        <v>400</v>
      </c>
      <c r="E5">
        <v>20</v>
      </c>
      <c r="F5">
        <v>50</v>
      </c>
      <c r="G5">
        <v>40</v>
      </c>
      <c r="H5" s="15">
        <f t="shared" si="0"/>
        <v>20000</v>
      </c>
      <c r="I5" t="str">
        <f t="shared" si="1"/>
        <v>stock ok</v>
      </c>
      <c r="J5">
        <v>2.5</v>
      </c>
      <c r="K5" t="str">
        <v>medium risk</v>
      </c>
      <c r="N5">
        <v>0.4</v>
      </c>
      <c r="P5" s="19">
        <f>SUM(H4:H9)</f>
        <v>891000</v>
      </c>
      <c r="Q5" s="13"/>
      <c r="R5" s="13"/>
    </row>
    <row r="6" spans="2:18" ht="15.75" x14ac:dyDescent="0.25">
      <c r="B6" t="s">
        <v>6</v>
      </c>
      <c r="C6" t="s">
        <v>12</v>
      </c>
      <c r="D6" s="15">
        <v>800</v>
      </c>
      <c r="E6">
        <v>10</v>
      </c>
      <c r="F6">
        <v>20</v>
      </c>
      <c r="G6">
        <v>25</v>
      </c>
      <c r="H6" s="15">
        <f t="shared" si="0"/>
        <v>16000</v>
      </c>
      <c r="I6" s="5" t="str">
        <f t="shared" si="1"/>
        <v>stock needed</v>
      </c>
      <c r="J6">
        <v>2</v>
      </c>
      <c r="K6" s="8" t="str">
        <v>high risk</v>
      </c>
      <c r="L6" s="7" cm="1">
        <f t="array" ref="L6:L7">G6:G7-F6:F7</f>
        <v>5</v>
      </c>
      <c r="M6" s="7">
        <f>D6*L6</f>
        <v>4000</v>
      </c>
      <c r="N6" s="17">
        <v>0.5</v>
      </c>
      <c r="P6" s="18" t="s">
        <v>29</v>
      </c>
    </row>
    <row r="7" spans="2:18" ht="15.75" x14ac:dyDescent="0.25">
      <c r="B7" t="s">
        <v>7</v>
      </c>
      <c r="C7" t="s">
        <v>10</v>
      </c>
      <c r="D7" s="15">
        <v>12000</v>
      </c>
      <c r="E7">
        <v>2</v>
      </c>
      <c r="F7">
        <v>5</v>
      </c>
      <c r="G7">
        <v>8</v>
      </c>
      <c r="H7" s="15">
        <f t="shared" si="0"/>
        <v>60000</v>
      </c>
      <c r="I7" s="5" t="str">
        <f t="shared" si="1"/>
        <v>stock needed</v>
      </c>
      <c r="J7">
        <v>2.5</v>
      </c>
      <c r="K7" t="str">
        <v>medium risk</v>
      </c>
      <c r="L7" s="7">
        <v>3</v>
      </c>
      <c r="M7" s="7">
        <f>D7*L7</f>
        <v>36000</v>
      </c>
      <c r="N7" s="17">
        <v>0.4</v>
      </c>
      <c r="P7" s="19">
        <f>SUM(M6:M7)</f>
        <v>40000</v>
      </c>
      <c r="Q7" s="13"/>
      <c r="R7" s="13"/>
    </row>
    <row r="8" spans="2:18" ht="15.75" x14ac:dyDescent="0.25">
      <c r="B8" t="s">
        <v>35</v>
      </c>
      <c r="C8" t="s">
        <v>11</v>
      </c>
      <c r="D8" s="15">
        <v>15000</v>
      </c>
      <c r="E8">
        <v>2</v>
      </c>
      <c r="F8">
        <v>7</v>
      </c>
      <c r="G8">
        <v>6</v>
      </c>
      <c r="H8" s="15">
        <f t="shared" si="0"/>
        <v>105000</v>
      </c>
      <c r="I8" t="str">
        <f t="shared" si="1"/>
        <v>stock ok</v>
      </c>
      <c r="J8">
        <v>3.5</v>
      </c>
      <c r="K8" t="str">
        <v>medium risk</v>
      </c>
      <c r="N8">
        <v>0.2857142857142857</v>
      </c>
      <c r="P8" s="18" t="s">
        <v>28</v>
      </c>
    </row>
    <row r="9" spans="2:18" ht="15.75" x14ac:dyDescent="0.25">
      <c r="B9" t="s">
        <v>9</v>
      </c>
      <c r="C9" t="s">
        <v>10</v>
      </c>
      <c r="D9" s="15">
        <v>3000</v>
      </c>
      <c r="E9">
        <v>8</v>
      </c>
      <c r="F9">
        <v>30</v>
      </c>
      <c r="G9">
        <v>20</v>
      </c>
      <c r="H9" s="15">
        <f t="shared" si="0"/>
        <v>90000</v>
      </c>
      <c r="I9" t="str">
        <f t="shared" si="1"/>
        <v>stock ok</v>
      </c>
      <c r="J9">
        <v>3.75</v>
      </c>
      <c r="K9" t="str">
        <v>safe</v>
      </c>
      <c r="N9">
        <v>0.26666666666666666</v>
      </c>
      <c r="P9" s="19">
        <v>2</v>
      </c>
      <c r="Q9" s="13"/>
      <c r="R9" s="13"/>
    </row>
    <row r="10" spans="2:18" ht="15.75" x14ac:dyDescent="0.25">
      <c r="P10" s="18" t="s">
        <v>30</v>
      </c>
    </row>
    <row r="11" spans="2:18" ht="15.75" x14ac:dyDescent="0.25">
      <c r="E11" s="4"/>
      <c r="F11" s="15"/>
      <c r="P11" s="19">
        <f>AVERAGE(_xlfn.ANCHORARRAY(J4))</f>
        <v>3.0416666666666665</v>
      </c>
      <c r="Q11" s="13"/>
      <c r="R11" s="13"/>
    </row>
    <row r="12" spans="2:18" ht="15.75" x14ac:dyDescent="0.25">
      <c r="P12" s="18" t="s">
        <v>31</v>
      </c>
    </row>
    <row r="13" spans="2:18" ht="15.75" customHeight="1" x14ac:dyDescent="0.45">
      <c r="B13" s="20"/>
      <c r="P13" s="19">
        <v>6</v>
      </c>
      <c r="Q13" s="13"/>
      <c r="R13" s="13"/>
    </row>
    <row r="14" spans="2:18" ht="15.75" customHeight="1" x14ac:dyDescent="0.35">
      <c r="C14" s="11"/>
      <c r="D14" s="10"/>
      <c r="E14" s="15"/>
      <c r="G14" s="1"/>
      <c r="I14" s="15"/>
      <c r="J14" s="15"/>
    </row>
    <row r="15" spans="2:18" ht="15.75" customHeight="1" x14ac:dyDescent="0.35">
      <c r="B15" s="21"/>
      <c r="C15" s="11"/>
      <c r="D15" s="11"/>
      <c r="E15" s="15"/>
      <c r="I15" s="15"/>
      <c r="J15" s="15"/>
    </row>
    <row r="16" spans="2:18" ht="15.75" customHeight="1" x14ac:dyDescent="0.35">
      <c r="C16" s="11"/>
      <c r="D16" s="11"/>
      <c r="E16" s="15"/>
      <c r="I16" s="15"/>
      <c r="J16" s="15"/>
    </row>
    <row r="17" spans="3:14" ht="15.75" customHeight="1" x14ac:dyDescent="0.35">
      <c r="C17" s="11"/>
      <c r="D17" s="9"/>
      <c r="E17" s="15"/>
      <c r="I17" s="15"/>
      <c r="J17" s="15"/>
    </row>
    <row r="18" spans="3:14" ht="15.75" customHeight="1" x14ac:dyDescent="0.35">
      <c r="C18" s="11"/>
      <c r="D18" s="11"/>
      <c r="E18" s="15"/>
      <c r="I18" s="15"/>
      <c r="J18" s="15"/>
    </row>
    <row r="19" spans="3:14" ht="15.75" customHeight="1" x14ac:dyDescent="0.35">
      <c r="C19" s="11"/>
      <c r="D19" s="11"/>
      <c r="E19" s="15"/>
      <c r="I19" s="15"/>
      <c r="J19" s="15"/>
    </row>
    <row r="25" spans="3:14" x14ac:dyDescent="0.25">
      <c r="N25" t="s">
        <v>36</v>
      </c>
    </row>
  </sheetData>
  <conditionalFormatting sqref="I4:I9">
    <cfRule type="dataBar" priority="24">
      <dataBar>
        <cfvo type="min"/>
        <cfvo type="max"/>
        <color rgb="FF008AEF"/>
      </dataBar>
      <extLst>
        <ext xmlns:x14="http://schemas.microsoft.com/office/spreadsheetml/2009/9/main" uri="{B025F937-C7B1-47D3-B67F-A62EFF666E3E}">
          <x14:id>{DD39230B-645E-4798-A855-41D47F9038DC}</x14:id>
        </ext>
      </extLst>
    </cfRule>
    <cfRule type="colorScale" priority="25">
      <colorScale>
        <cfvo type="min"/>
        <cfvo type="percentile" val="50"/>
        <cfvo type="max"/>
        <color rgb="FFF8696B"/>
        <color rgb="FFFFEB84"/>
        <color rgb="FF63BE7B"/>
      </colorScale>
    </cfRule>
  </conditionalFormatting>
  <conditionalFormatting sqref="K4:K9">
    <cfRule type="dataBar" priority="26">
      <dataBar>
        <cfvo type="min"/>
        <cfvo type="max"/>
        <color rgb="FFD6007B"/>
      </dataBar>
      <extLst>
        <ext xmlns:x14="http://schemas.microsoft.com/office/spreadsheetml/2009/9/main" uri="{B025F937-C7B1-47D3-B67F-A62EFF666E3E}">
          <x14:id>{C973F8D8-C059-4599-B0A8-22BE693AD936}</x14:id>
        </ext>
      </extLst>
    </cfRule>
  </conditionalFormatting>
  <conditionalFormatting sqref="K4:K9">
    <cfRule type="colorScale" priority="18">
      <colorScale>
        <cfvo type="min"/>
        <cfvo type="percentile" val="50"/>
        <cfvo type="max"/>
        <color rgb="FF63BE7B"/>
        <color rgb="FFFFEB84"/>
        <color rgb="FFF8696B"/>
      </colorScale>
    </cfRule>
  </conditionalFormatting>
  <conditionalFormatting sqref="H4:H9">
    <cfRule type="dataBar" priority="11">
      <dataBar>
        <cfvo type="min"/>
        <cfvo type="max"/>
        <color rgb="FFD6007B"/>
      </dataBar>
      <extLst>
        <ext xmlns:x14="http://schemas.microsoft.com/office/spreadsheetml/2009/9/main" uri="{B025F937-C7B1-47D3-B67F-A62EFF666E3E}">
          <x14:id>{2A1DA3B8-FFB6-47CF-A86F-B2793EE1D7AE}</x14:id>
        </ext>
      </extLst>
    </cfRule>
  </conditionalFormatting>
  <conditionalFormatting sqref="D4:D9">
    <cfRule type="dataBar" priority="9">
      <dataBar>
        <cfvo type="min"/>
        <cfvo type="max"/>
        <color rgb="FF638EC6"/>
      </dataBar>
      <extLst>
        <ext xmlns:x14="http://schemas.microsoft.com/office/spreadsheetml/2009/9/main" uri="{B025F937-C7B1-47D3-B67F-A62EFF666E3E}">
          <x14:id>{2AB94966-10AD-4827-9780-DEB36025BDAE}</x14:id>
        </ext>
      </extLst>
    </cfRule>
  </conditionalFormatting>
  <conditionalFormatting sqref="N4:N9">
    <cfRule type="colorScale" priority="7">
      <colorScale>
        <cfvo type="min"/>
        <cfvo type="max"/>
        <color rgb="FFF8696B"/>
        <color rgb="FFFCFCFF"/>
      </colorScale>
    </cfRule>
  </conditionalFormatting>
  <conditionalFormatting sqref="J4:J9">
    <cfRule type="dataBar" priority="4">
      <dataBar>
        <cfvo type="min"/>
        <cfvo type="max"/>
        <color rgb="FF008AEF"/>
      </dataBar>
      <extLst>
        <ext xmlns:x14="http://schemas.microsoft.com/office/spreadsheetml/2009/9/main" uri="{B025F937-C7B1-47D3-B67F-A62EFF666E3E}">
          <x14:id>{A183C01E-9528-46F5-8B34-CDA500EFFA60}</x14:id>
        </ext>
      </extLst>
    </cfRule>
  </conditionalFormatting>
  <conditionalFormatting sqref="E14:E19">
    <cfRule type="dataBar" priority="3">
      <dataBar>
        <cfvo type="min"/>
        <cfvo type="max"/>
        <color rgb="FF638EC6"/>
      </dataBar>
      <extLst>
        <ext xmlns:x14="http://schemas.microsoft.com/office/spreadsheetml/2009/9/main" uri="{B025F937-C7B1-47D3-B67F-A62EFF666E3E}">
          <x14:id>{AAE4473E-3BE2-4C0C-8CE3-DB79944F8D63}</x14:id>
        </ext>
      </extLst>
    </cfRule>
  </conditionalFormatting>
  <conditionalFormatting sqref="I14:I19">
    <cfRule type="dataBar" priority="2">
      <dataBar>
        <cfvo type="min"/>
        <cfvo type="max"/>
        <color rgb="FF638EC6"/>
      </dataBar>
      <extLst>
        <ext xmlns:x14="http://schemas.microsoft.com/office/spreadsheetml/2009/9/main" uri="{B025F937-C7B1-47D3-B67F-A62EFF666E3E}">
          <x14:id>{B4BFF27F-B7ED-44D2-8F45-92F907FD97F1}</x14:id>
        </ext>
      </extLst>
    </cfRule>
  </conditionalFormatting>
  <conditionalFormatting sqref="J14:J19">
    <cfRule type="dataBar" priority="1">
      <dataBar>
        <cfvo type="min"/>
        <cfvo type="max"/>
        <color rgb="FF638EC6"/>
      </dataBar>
      <extLst>
        <ext xmlns:x14="http://schemas.microsoft.com/office/spreadsheetml/2009/9/main" uri="{B025F937-C7B1-47D3-B67F-A62EFF666E3E}">
          <x14:id>{C2F531E1-DD31-48E9-A940-01D6D24582BB}</x14:id>
        </ext>
      </extLst>
    </cfRule>
  </conditionalFormatting>
  <dataValidations count="1">
    <dataValidation type="list" allowBlank="1" showInputMessage="1" showErrorMessage="1" sqref="C3:C9" xr:uid="{77E19ED4-8E1E-4891-86B4-2C816AE340BD}">
      <formula1>$C$3:$C$9</formula1>
    </dataValidation>
  </dataValidations>
  <pageMargins left="0.7" right="0.7" top="0.75" bottom="0.75" header="0.3" footer="0.3"/>
  <pageSetup paperSize="9"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DD39230B-645E-4798-A855-41D47F9038DC}">
            <x14:dataBar minLength="0" maxLength="100" gradient="0">
              <x14:cfvo type="autoMin"/>
              <x14:cfvo type="autoMax"/>
              <x14:negativeFillColor rgb="FFFF0000"/>
              <x14:axisColor rgb="FF000000"/>
            </x14:dataBar>
          </x14:cfRule>
          <xm:sqref>I4:I9</xm:sqref>
        </x14:conditionalFormatting>
        <x14:conditionalFormatting xmlns:xm="http://schemas.microsoft.com/office/excel/2006/main">
          <x14:cfRule type="dataBar" id="{C973F8D8-C059-4599-B0A8-22BE693AD936}">
            <x14:dataBar minLength="0" maxLength="100" border="1" negativeBarBorderColorSameAsPositive="0">
              <x14:cfvo type="autoMin"/>
              <x14:cfvo type="autoMax"/>
              <x14:borderColor rgb="FFD6007B"/>
              <x14:negativeFillColor rgb="FFFF0000"/>
              <x14:negativeBorderColor rgb="FFFF0000"/>
              <x14:axisColor rgb="FF000000"/>
            </x14:dataBar>
          </x14:cfRule>
          <xm:sqref>K4:K9</xm:sqref>
        </x14:conditionalFormatting>
        <x14:conditionalFormatting xmlns:xm="http://schemas.microsoft.com/office/excel/2006/main">
          <x14:cfRule type="dataBar" id="{2A1DA3B8-FFB6-47CF-A86F-B2793EE1D7AE}">
            <x14:dataBar minLength="0" maxLength="100" gradient="0">
              <x14:cfvo type="autoMin"/>
              <x14:cfvo type="autoMax"/>
              <x14:negativeFillColor rgb="FFFF0000"/>
              <x14:axisColor rgb="FF000000"/>
            </x14:dataBar>
          </x14:cfRule>
          <xm:sqref>H4:H9</xm:sqref>
        </x14:conditionalFormatting>
        <x14:conditionalFormatting xmlns:xm="http://schemas.microsoft.com/office/excel/2006/main">
          <x14:cfRule type="dataBar" id="{2AB94966-10AD-4827-9780-DEB36025BDAE}">
            <x14:dataBar minLength="0" maxLength="100" gradient="0">
              <x14:cfvo type="autoMin"/>
              <x14:cfvo type="autoMax"/>
              <x14:negativeFillColor rgb="FFFF0000"/>
              <x14:axisColor rgb="FF000000"/>
            </x14:dataBar>
          </x14:cfRule>
          <xm:sqref>D4:D9</xm:sqref>
        </x14:conditionalFormatting>
        <x14:conditionalFormatting xmlns:xm="http://schemas.microsoft.com/office/excel/2006/main">
          <x14:cfRule type="dataBar" id="{A183C01E-9528-46F5-8B34-CDA500EFFA60}">
            <x14:dataBar minLength="0" maxLength="100" border="1" negativeBarBorderColorSameAsPositive="0">
              <x14:cfvo type="autoMin"/>
              <x14:cfvo type="autoMax"/>
              <x14:borderColor rgb="FF008AEF"/>
              <x14:negativeFillColor rgb="FFFF0000"/>
              <x14:negativeBorderColor rgb="FFFF0000"/>
              <x14:axisColor rgb="FF000000"/>
            </x14:dataBar>
          </x14:cfRule>
          <xm:sqref>J4:J9</xm:sqref>
        </x14:conditionalFormatting>
        <x14:conditionalFormatting xmlns:xm="http://schemas.microsoft.com/office/excel/2006/main">
          <x14:cfRule type="dataBar" id="{AAE4473E-3BE2-4C0C-8CE3-DB79944F8D63}">
            <x14:dataBar minLength="0" maxLength="100" gradient="0">
              <x14:cfvo type="autoMin"/>
              <x14:cfvo type="autoMax"/>
              <x14:negativeFillColor rgb="FFFF0000"/>
              <x14:axisColor rgb="FF000000"/>
            </x14:dataBar>
          </x14:cfRule>
          <xm:sqref>E14:E19</xm:sqref>
        </x14:conditionalFormatting>
        <x14:conditionalFormatting xmlns:xm="http://schemas.microsoft.com/office/excel/2006/main">
          <x14:cfRule type="dataBar" id="{B4BFF27F-B7ED-44D2-8F45-92F907FD97F1}">
            <x14:dataBar minLength="0" maxLength="100" gradient="0">
              <x14:cfvo type="autoMin"/>
              <x14:cfvo type="autoMax"/>
              <x14:negativeFillColor rgb="FFFF0000"/>
              <x14:axisColor rgb="FF000000"/>
            </x14:dataBar>
          </x14:cfRule>
          <xm:sqref>I14:I19</xm:sqref>
        </x14:conditionalFormatting>
        <x14:conditionalFormatting xmlns:xm="http://schemas.microsoft.com/office/excel/2006/main">
          <x14:cfRule type="dataBar" id="{C2F531E1-DD31-48E9-A940-01D6D24582BB}">
            <x14:dataBar minLength="0" maxLength="100" gradient="0">
              <x14:cfvo type="autoMin"/>
              <x14:cfvo type="autoMax"/>
              <x14:negativeFillColor rgb="FFFF0000"/>
              <x14:axisColor rgb="FF000000"/>
            </x14:dataBar>
          </x14:cfRule>
          <xm:sqref>J14:J19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D94FD-7601-47C7-B873-E272EB9E5A95}">
  <dimension ref="A3:O21"/>
  <sheetViews>
    <sheetView showGridLines="0" showRowColHeaders="0" tabSelected="1" workbookViewId="0">
      <selection activeCell="Q9" sqref="Q9"/>
    </sheetView>
  </sheetViews>
  <sheetFormatPr defaultRowHeight="15" x14ac:dyDescent="0.25"/>
  <cols>
    <col min="1" max="1" width="13.140625" bestFit="1" customWidth="1"/>
    <col min="2" max="2" width="19.140625" bestFit="1" customWidth="1"/>
    <col min="3" max="3" width="22.28515625" customWidth="1"/>
    <col min="4" max="4" width="5" customWidth="1"/>
    <col min="5" max="7" width="6.7109375" bestFit="1" customWidth="1"/>
    <col min="8" max="8" width="7.85546875" bestFit="1" customWidth="1"/>
    <col min="9" max="9" width="13" bestFit="1" customWidth="1"/>
    <col min="12" max="12" width="9.140625" customWidth="1"/>
    <col min="13" max="13" width="3.85546875" customWidth="1"/>
    <col min="14" max="14" width="20.42578125" customWidth="1"/>
    <col min="15" max="15" width="11.140625" customWidth="1"/>
  </cols>
  <sheetData>
    <row r="3" spans="1:15" x14ac:dyDescent="0.25">
      <c r="A3" s="2" t="s">
        <v>15</v>
      </c>
      <c r="B3" t="s">
        <v>17</v>
      </c>
      <c r="C3" t="s">
        <v>20</v>
      </c>
    </row>
    <row r="4" spans="1:15" x14ac:dyDescent="0.25">
      <c r="A4" s="3" t="s">
        <v>11</v>
      </c>
      <c r="B4" s="4">
        <v>65000</v>
      </c>
      <c r="C4" s="4">
        <v>705000</v>
      </c>
    </row>
    <row r="5" spans="1:15" x14ac:dyDescent="0.25">
      <c r="A5" s="6" t="s">
        <v>4</v>
      </c>
      <c r="B5" s="4">
        <v>50000</v>
      </c>
      <c r="C5" s="4">
        <v>600000</v>
      </c>
    </row>
    <row r="6" spans="1:15" x14ac:dyDescent="0.25">
      <c r="A6" s="6" t="s">
        <v>8</v>
      </c>
      <c r="B6" s="4">
        <v>15000</v>
      </c>
      <c r="C6" s="4">
        <v>105000</v>
      </c>
    </row>
    <row r="7" spans="1:15" x14ac:dyDescent="0.25">
      <c r="A7" s="3" t="s">
        <v>12</v>
      </c>
      <c r="B7" s="4">
        <v>1200</v>
      </c>
      <c r="C7" s="4">
        <v>36000</v>
      </c>
    </row>
    <row r="8" spans="1:15" x14ac:dyDescent="0.25">
      <c r="A8" s="6" t="s">
        <v>6</v>
      </c>
      <c r="B8" s="4">
        <v>800</v>
      </c>
      <c r="C8" s="4">
        <v>16000</v>
      </c>
    </row>
    <row r="9" spans="1:15" x14ac:dyDescent="0.25">
      <c r="A9" s="6" t="s">
        <v>5</v>
      </c>
      <c r="B9" s="4">
        <v>400</v>
      </c>
      <c r="C9" s="4">
        <v>20000</v>
      </c>
    </row>
    <row r="10" spans="1:15" x14ac:dyDescent="0.25">
      <c r="A10" s="3" t="s">
        <v>10</v>
      </c>
      <c r="B10" s="4">
        <v>15000</v>
      </c>
      <c r="C10" s="4">
        <v>150000</v>
      </c>
    </row>
    <row r="11" spans="1:15" ht="31.5" x14ac:dyDescent="0.5">
      <c r="A11" s="6" t="s">
        <v>7</v>
      </c>
      <c r="B11" s="4">
        <v>12000</v>
      </c>
      <c r="C11" s="4">
        <v>60000</v>
      </c>
      <c r="N11" s="12" t="s">
        <v>32</v>
      </c>
      <c r="O11" s="12"/>
    </row>
    <row r="12" spans="1:15" ht="15.75" x14ac:dyDescent="0.25">
      <c r="A12" s="6" t="s">
        <v>9</v>
      </c>
      <c r="B12" s="4">
        <v>3000</v>
      </c>
      <c r="C12" s="4">
        <v>90000</v>
      </c>
      <c r="N12" s="18" t="s">
        <v>33</v>
      </c>
    </row>
    <row r="13" spans="1:15" ht="15.75" x14ac:dyDescent="0.25">
      <c r="A13" s="3" t="s">
        <v>16</v>
      </c>
      <c r="B13" s="4">
        <v>81200</v>
      </c>
      <c r="C13" s="4">
        <v>891000</v>
      </c>
      <c r="N13" s="22">
        <v>891000</v>
      </c>
      <c r="O13" s="13"/>
    </row>
    <row r="14" spans="1:15" ht="15.75" x14ac:dyDescent="0.25">
      <c r="N14" s="18" t="s">
        <v>29</v>
      </c>
    </row>
    <row r="15" spans="1:15" ht="15.75" x14ac:dyDescent="0.25">
      <c r="N15" s="22">
        <v>40000</v>
      </c>
      <c r="O15" s="13"/>
    </row>
    <row r="16" spans="1:15" ht="15.75" x14ac:dyDescent="0.25">
      <c r="N16" s="18" t="s">
        <v>28</v>
      </c>
    </row>
    <row r="17" spans="14:15" ht="15.75" x14ac:dyDescent="0.25">
      <c r="N17" s="19">
        <v>2</v>
      </c>
      <c r="O17" s="13"/>
    </row>
    <row r="18" spans="14:15" ht="15.75" x14ac:dyDescent="0.25">
      <c r="N18" s="18" t="s">
        <v>30</v>
      </c>
    </row>
    <row r="19" spans="14:15" ht="15.75" x14ac:dyDescent="0.25">
      <c r="N19" s="19">
        <v>3.04</v>
      </c>
      <c r="O19" s="13"/>
    </row>
    <row r="20" spans="14:15" ht="15.75" x14ac:dyDescent="0.25">
      <c r="N20" s="18" t="s">
        <v>31</v>
      </c>
    </row>
    <row r="21" spans="14:15" ht="15.75" x14ac:dyDescent="0.25">
      <c r="N21" s="19">
        <v>6</v>
      </c>
      <c r="O21" s="13"/>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62E10-DA93-491F-9374-50687EFCE3BF}">
  <dimension ref="A3:B7"/>
  <sheetViews>
    <sheetView showGridLines="0" workbookViewId="0">
      <selection activeCell="C19" sqref="C19"/>
    </sheetView>
  </sheetViews>
  <sheetFormatPr defaultRowHeight="15" x14ac:dyDescent="0.25"/>
  <cols>
    <col min="1" max="1" width="13.140625" bestFit="1" customWidth="1"/>
    <col min="2" max="2" width="13.28515625" bestFit="1" customWidth="1"/>
    <col min="3" max="3" width="6.42578125" customWidth="1"/>
    <col min="4" max="4" width="8.7109375" customWidth="1"/>
    <col min="5" max="6" width="7.7109375" customWidth="1"/>
    <col min="7" max="7" width="7.28515625" customWidth="1"/>
    <col min="8" max="8" width="13" customWidth="1"/>
  </cols>
  <sheetData>
    <row r="3" spans="1:2" x14ac:dyDescent="0.25">
      <c r="A3" s="2" t="s">
        <v>15</v>
      </c>
      <c r="B3" t="s">
        <v>27</v>
      </c>
    </row>
    <row r="4" spans="1:2" x14ac:dyDescent="0.25">
      <c r="A4" s="3" t="s">
        <v>24</v>
      </c>
      <c r="B4" s="4">
        <v>1</v>
      </c>
    </row>
    <row r="5" spans="1:2" x14ac:dyDescent="0.25">
      <c r="A5" s="3" t="s">
        <v>25</v>
      </c>
      <c r="B5" s="4">
        <v>3</v>
      </c>
    </row>
    <row r="6" spans="1:2" x14ac:dyDescent="0.25">
      <c r="A6" s="3" t="s">
        <v>26</v>
      </c>
      <c r="B6" s="4">
        <v>2</v>
      </c>
    </row>
    <row r="7" spans="1:2" x14ac:dyDescent="0.25">
      <c r="A7" s="3" t="s">
        <v>16</v>
      </c>
      <c r="B7" s="4">
        <v>6</v>
      </c>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sheet</vt:lpstr>
      <vt:lpstr>Dashboard</vt:lpstr>
      <vt:lpstr>Analysis_risk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Anil Fashion</dc:creator>
  <cp:keywords/>
  <dc:description/>
  <cp:lastModifiedBy>Walter White</cp:lastModifiedBy>
  <cp:revision/>
  <dcterms:created xsi:type="dcterms:W3CDTF">2024-05-16T18:11:55Z</dcterms:created>
  <dcterms:modified xsi:type="dcterms:W3CDTF">2026-03-28T08:33:41Z</dcterms:modified>
  <cp:category/>
  <cp:contentStatus/>
</cp:coreProperties>
</file>