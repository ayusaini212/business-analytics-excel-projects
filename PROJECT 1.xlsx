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D:\JOB PROJECTS\"/>
    </mc:Choice>
  </mc:AlternateContent>
  <xr:revisionPtr revIDLastSave="0" documentId="8_{D6BFBC90-4398-47F0-90F0-43C7B0E7C455}" xr6:coauthVersionLast="47" xr6:coauthVersionMax="47" xr10:uidLastSave="{00000000-0000-0000-0000-000000000000}"/>
  <bookViews>
    <workbookView xWindow="-120" yWindow="-120" windowWidth="20730" windowHeight="11040" activeTab="1" xr2:uid="{027A7652-68B6-49A5-8381-FE7C5CB285F4}"/>
  </bookViews>
  <sheets>
    <sheet name="Sheet1" sheetId="1" r:id="rId1"/>
    <sheet name="DASHBOARD" sheetId="8" r:id="rId2"/>
    <sheet name="Analysis" sheetId="3" r:id="rId3"/>
    <sheet name="Supplier_analysis" sheetId="5" r:id="rId4"/>
    <sheet name="Dead_stock" sheetId="6" r:id="rId5"/>
    <sheet name="Category_analysis" sheetId="7" r:id="rId6"/>
    <sheet name="RAW" sheetId="10" r:id="rId7"/>
  </sheets>
  <definedNames>
    <definedName name="Slicer_Supplier">#N/A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S7" i="1" l="1" a="1"/>
  <c r="S7" i="1" s="1"/>
  <c r="H17" i="10" a="1"/>
  <c r="H17" i="10" s="1"/>
  <c r="F10" i="10" a="1"/>
  <c r="F10" i="10" s="1"/>
  <c r="T20" i="1"/>
  <c r="V7" i="1"/>
  <c r="V8" i="1"/>
  <c r="V9" i="1"/>
  <c r="V10" i="1"/>
  <c r="V11" i="1"/>
  <c r="V12" i="1"/>
  <c r="V13" i="1"/>
  <c r="V14" i="1"/>
  <c r="V15" i="1"/>
  <c r="V16" i="1"/>
  <c r="V17" i="1"/>
  <c r="V18" i="1"/>
  <c r="V19" i="1"/>
  <c r="V20" i="1"/>
  <c r="V21" i="1"/>
  <c r="R7" i="1"/>
  <c r="T7" i="1" s="1"/>
  <c r="R8" i="1"/>
  <c r="T8" i="1" s="1"/>
  <c r="R9" i="1"/>
  <c r="T9" i="1" s="1"/>
  <c r="R10" i="1"/>
  <c r="T10" i="1" s="1"/>
  <c r="R11" i="1"/>
  <c r="T11" i="1" s="1"/>
  <c r="R12" i="1"/>
  <c r="T12" i="1" s="1"/>
  <c r="R13" i="1"/>
  <c r="T13" i="1" s="1"/>
  <c r="R14" i="1"/>
  <c r="T14" i="1" s="1"/>
  <c r="R15" i="1"/>
  <c r="T15" i="1" s="1"/>
  <c r="R16" i="1"/>
  <c r="T16" i="1" s="1"/>
  <c r="R17" i="1"/>
  <c r="T17" i="1" s="1"/>
  <c r="R18" i="1"/>
  <c r="T18" i="1" s="1"/>
  <c r="R19" i="1"/>
  <c r="T19" i="1" s="1"/>
  <c r="R21" i="1"/>
  <c r="T21" i="1" s="1"/>
  <c r="Q7" i="1"/>
  <c r="U7" i="1" s="1"/>
  <c r="Q8" i="1"/>
  <c r="U8" i="1" s="1"/>
  <c r="Q9" i="1"/>
  <c r="U9" i="1" s="1"/>
  <c r="Q10" i="1"/>
  <c r="U10" i="1" s="1"/>
  <c r="Q11" i="1"/>
  <c r="U11" i="1" s="1"/>
  <c r="Q12" i="1"/>
  <c r="U12" i="1" s="1"/>
  <c r="Q13" i="1"/>
  <c r="U13" i="1" s="1"/>
  <c r="Q14" i="1"/>
  <c r="U14" i="1" s="1"/>
  <c r="Q15" i="1"/>
  <c r="U15" i="1" s="1"/>
  <c r="Q16" i="1"/>
  <c r="U16" i="1" s="1"/>
  <c r="Q17" i="1"/>
  <c r="U17" i="1" s="1"/>
  <c r="Q18" i="1"/>
  <c r="U18" i="1" s="1"/>
  <c r="Q19" i="1"/>
  <c r="U19" i="1" s="1"/>
  <c r="Q20" i="1"/>
  <c r="U20" i="1" s="1"/>
  <c r="Q21" i="1"/>
  <c r="U21" i="1" s="1"/>
  <c r="N7" i="1"/>
  <c r="O7" i="1" s="1"/>
  <c r="N8" i="1"/>
  <c r="O8" i="1" s="1"/>
  <c r="F5" i="10" s="1" a="1"/>
  <c r="F5" i="10" s="1"/>
  <c r="N9" i="1"/>
  <c r="O9" i="1" s="1"/>
  <c r="F6" i="10" s="1" a="1"/>
  <c r="F6" i="10" s="1"/>
  <c r="N10" i="1"/>
  <c r="O10" i="1" s="1"/>
  <c r="N11" i="1"/>
  <c r="O11" i="1" s="1"/>
  <c r="F8" i="10" s="1" a="1"/>
  <c r="F8" i="10" s="1"/>
  <c r="N12" i="1"/>
  <c r="O12" i="1" s="1"/>
  <c r="F9" i="10" s="1" a="1"/>
  <c r="F9" i="10" s="1"/>
  <c r="N13" i="1"/>
  <c r="O13" i="1" s="1"/>
  <c r="N14" i="1"/>
  <c r="O14" i="1" s="1"/>
  <c r="N15" i="1"/>
  <c r="O15" i="1" s="1"/>
  <c r="F12" i="10" s="1" a="1"/>
  <c r="F12" i="10" s="1"/>
  <c r="N16" i="1"/>
  <c r="O16" i="1" s="1"/>
  <c r="F13" i="10" s="1" a="1"/>
  <c r="F13" i="10" s="1"/>
  <c r="N17" i="1"/>
  <c r="O17" i="1" s="1"/>
  <c r="F14" i="10" s="1" a="1"/>
  <c r="F14" i="10" s="1"/>
  <c r="N18" i="1"/>
  <c r="O18" i="1" s="1"/>
  <c r="N19" i="1"/>
  <c r="O19" i="1" s="1"/>
  <c r="N20" i="1"/>
  <c r="O20" i="1" s="1"/>
  <c r="F17" i="10" s="1" a="1"/>
  <c r="F17" i="10" s="1"/>
  <c r="N21" i="1"/>
  <c r="O21" i="1" s="1"/>
  <c r="M7" i="1"/>
  <c r="M8" i="1"/>
  <c r="M9" i="1"/>
  <c r="M10" i="1"/>
  <c r="M11" i="1"/>
  <c r="M12" i="1"/>
  <c r="M13" i="1"/>
  <c r="M14" i="1"/>
  <c r="M15" i="1"/>
  <c r="M16" i="1"/>
  <c r="M17" i="1"/>
  <c r="M18" i="1"/>
  <c r="M19" i="1"/>
  <c r="M20" i="1"/>
  <c r="M21" i="1"/>
  <c r="F11" i="10" l="1" a="1"/>
  <c r="F11" i="10" s="1"/>
  <c r="F15" i="10" a="1"/>
  <c r="F15" i="10" s="1"/>
  <c r="F7" i="10" a="1"/>
  <c r="F7" i="10" s="1"/>
  <c r="F18" i="10" a="1"/>
  <c r="F18" i="10" s="1"/>
  <c r="I15" i="10" a="1"/>
  <c r="I15" i="10" s="1"/>
  <c r="I11" i="10" a="1"/>
  <c r="I11" i="10" s="1"/>
  <c r="I7" i="10" a="1"/>
  <c r="I7" i="10" s="1"/>
  <c r="I4" i="10" a="1"/>
  <c r="I4" i="10" s="1"/>
  <c r="N5" i="10" s="1"/>
  <c r="I14" i="10" a="1"/>
  <c r="I14" i="10" s="1"/>
  <c r="I10" i="10" a="1"/>
  <c r="I10" i="10" s="1"/>
  <c r="I6" i="10" a="1"/>
  <c r="I6" i="10" s="1"/>
  <c r="W7" i="1" a="1"/>
  <c r="W7" i="1" s="1"/>
  <c r="I18" i="10" a="1"/>
  <c r="I18" i="10" s="1"/>
  <c r="I13" i="10" a="1"/>
  <c r="I13" i="10" s="1"/>
  <c r="I9" i="10" a="1"/>
  <c r="I9" i="10" s="1"/>
  <c r="I5" i="10" a="1"/>
  <c r="I5" i="10" s="1"/>
  <c r="F4" i="10" a="1"/>
  <c r="F4" i="10" s="1"/>
  <c r="I17" i="10" a="1"/>
  <c r="I17" i="10" s="1"/>
  <c r="I12" i="10" a="1"/>
  <c r="I12" i="10" s="1"/>
  <c r="I8" i="10" a="1"/>
  <c r="I8" i="10" s="1"/>
  <c r="P19" i="1"/>
  <c r="H16" i="10" s="1" a="1"/>
  <c r="H16" i="10" s="1"/>
  <c r="P15" i="1"/>
  <c r="H12" i="10" s="1" a="1"/>
  <c r="H12" i="10" s="1"/>
  <c r="P11" i="1"/>
  <c r="H8" i="10" s="1" a="1"/>
  <c r="H8" i="10" s="1"/>
  <c r="P18" i="1"/>
  <c r="H15" i="10" s="1" a="1"/>
  <c r="H15" i="10" s="1"/>
  <c r="P14" i="1"/>
  <c r="H11" i="10" s="1" a="1"/>
  <c r="H11" i="10" s="1"/>
  <c r="P10" i="1"/>
  <c r="H7" i="10" s="1" a="1"/>
  <c r="H7" i="10" s="1"/>
  <c r="P21" i="1"/>
  <c r="H18" i="10" s="1" a="1"/>
  <c r="H18" i="10" s="1"/>
  <c r="P17" i="1"/>
  <c r="H14" i="10" s="1" a="1"/>
  <c r="H14" i="10" s="1"/>
  <c r="P13" i="1"/>
  <c r="H10" i="10" s="1" a="1"/>
  <c r="H10" i="10" s="1"/>
  <c r="P9" i="1"/>
  <c r="H6" i="10" s="1" a="1"/>
  <c r="H6" i="10" s="1"/>
  <c r="P16" i="1"/>
  <c r="H13" i="10" s="1" a="1"/>
  <c r="H13" i="10" s="1"/>
  <c r="P12" i="1"/>
  <c r="H9" i="10" s="1" a="1"/>
  <c r="H9" i="10" s="1"/>
  <c r="P8" i="1"/>
  <c r="H5" i="10" s="1" a="1"/>
  <c r="H5" i="10" s="1"/>
  <c r="P7" i="1"/>
  <c r="H4" i="10" s="1" a="1"/>
  <c r="H4" i="10" s="1"/>
  <c r="K4" i="10" l="1"/>
  <c r="L4" i="10"/>
  <c r="N11" i="10"/>
  <c r="O6"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<sst xmlns="http://schemas.openxmlformats.org/spreadsheetml/2006/main" count="193" uniqueCount="105">
  <si>
    <t>INVENTORY LIST</t>
  </si>
  <si>
    <t>P01</t>
  </si>
  <si>
    <t>P02</t>
  </si>
  <si>
    <t>P03</t>
  </si>
  <si>
    <t>P04</t>
  </si>
  <si>
    <t>P05</t>
  </si>
  <si>
    <t>P06</t>
  </si>
  <si>
    <t>P07</t>
  </si>
  <si>
    <t>P08</t>
  </si>
  <si>
    <t>P09</t>
  </si>
  <si>
    <t>P10</t>
  </si>
  <si>
    <t>P11</t>
  </si>
  <si>
    <t>P12</t>
  </si>
  <si>
    <t>P13</t>
  </si>
  <si>
    <t>P14</t>
  </si>
  <si>
    <t>P15</t>
  </si>
  <si>
    <t>Product ID</t>
  </si>
  <si>
    <t>Product name</t>
  </si>
  <si>
    <t>Category</t>
  </si>
  <si>
    <t>Supplier</t>
  </si>
  <si>
    <t>Cost</t>
  </si>
  <si>
    <t>Sales</t>
  </si>
  <si>
    <t>Reorder</t>
  </si>
  <si>
    <t>Lead time</t>
  </si>
  <si>
    <t>Hold %</t>
  </si>
  <si>
    <t>wireless mouse</t>
  </si>
  <si>
    <t>keyboard</t>
  </si>
  <si>
    <t>pen pack</t>
  </si>
  <si>
    <t>office chair</t>
  </si>
  <si>
    <t>notebook</t>
  </si>
  <si>
    <t>webcam</t>
  </si>
  <si>
    <t>flash drive</t>
  </si>
  <si>
    <t>hard disk</t>
  </si>
  <si>
    <t>monitor</t>
  </si>
  <si>
    <t>cables</t>
  </si>
  <si>
    <t>motherboard</t>
  </si>
  <si>
    <t>cpu</t>
  </si>
  <si>
    <t>smartphones</t>
  </si>
  <si>
    <t>screen protector</t>
  </si>
  <si>
    <t>gaming desk</t>
  </si>
  <si>
    <t>electronics</t>
  </si>
  <si>
    <t>stationary</t>
  </si>
  <si>
    <t>furniture</t>
  </si>
  <si>
    <t>supplier A</t>
  </si>
  <si>
    <t>supplier B</t>
  </si>
  <si>
    <t>supplier C</t>
  </si>
  <si>
    <t>supplier D</t>
  </si>
  <si>
    <t>supplier E</t>
  </si>
  <si>
    <t>supplier F</t>
  </si>
  <si>
    <t xml:space="preserve">Revenue </t>
  </si>
  <si>
    <t>Profit per unit</t>
  </si>
  <si>
    <t>Total profit</t>
  </si>
  <si>
    <t>Profit margins%</t>
  </si>
  <si>
    <t>Inventory value</t>
  </si>
  <si>
    <t xml:space="preserve">Months of stock </t>
  </si>
  <si>
    <t>Quantity</t>
  </si>
  <si>
    <t>Holding cost</t>
  </si>
  <si>
    <t>dead stock</t>
  </si>
  <si>
    <t>Movement type</t>
  </si>
  <si>
    <t>Grand Total</t>
  </si>
  <si>
    <t>Sum of Total profit</t>
  </si>
  <si>
    <t xml:space="preserve"> Total profit</t>
  </si>
  <si>
    <t xml:space="preserve"> Inventory value</t>
  </si>
  <si>
    <t>dead</t>
  </si>
  <si>
    <t>Products name</t>
  </si>
  <si>
    <t>Suppliers</t>
  </si>
  <si>
    <t xml:space="preserve"> Revenue </t>
  </si>
  <si>
    <t xml:space="preserve">  Total profit</t>
  </si>
  <si>
    <t>Stock status</t>
  </si>
  <si>
    <t>Average Lead time</t>
  </si>
  <si>
    <t>Row Labels</t>
  </si>
  <si>
    <t>Active</t>
  </si>
  <si>
    <t>Product</t>
  </si>
  <si>
    <t>Profit margin%</t>
  </si>
  <si>
    <t>cost per unit</t>
  </si>
  <si>
    <t>profit per unit</t>
  </si>
  <si>
    <t>Average margin</t>
  </si>
  <si>
    <t>Average cost</t>
  </si>
  <si>
    <t>X</t>
  </si>
  <si>
    <t>Y</t>
  </si>
  <si>
    <t>vert</t>
  </si>
  <si>
    <t>horz</t>
  </si>
  <si>
    <t>Cpu</t>
  </si>
  <si>
    <t>Total Revenue</t>
  </si>
  <si>
    <t>Total Profit</t>
  </si>
  <si>
    <t>Avg Profit Margin</t>
  </si>
  <si>
    <t>Dead Stock Value</t>
  </si>
  <si>
    <t>DASHBOARD</t>
  </si>
  <si>
    <t>Dstock Status</t>
  </si>
  <si>
    <t>Inventory turnover (by month)</t>
  </si>
  <si>
    <t>Selling price</t>
  </si>
  <si>
    <t>Key Trends &amp; Insights:</t>
  </si>
  <si>
    <t>Recommendations:</t>
  </si>
  <si>
    <t>• Supplier D contribute the most based on profit but taking 15 days in lead time.</t>
  </si>
  <si>
    <t>• Electronic items got more revenue but with low profit accordingly, while stationary items has good ratio between revenue and profit.</t>
  </si>
  <si>
    <t>Stock ratio</t>
  </si>
  <si>
    <t>• Smartphones and CPUs are highly performing in overall profit with a profit margin of 33% and 25%.</t>
  </si>
  <si>
    <t>• ₹500 is stuck in dead stock, along with that 3 products can be danger. (screen protector, hard disk, motherboard)</t>
  </si>
  <si>
    <t>• Whereas, 3 low cost products pen pack, notebook and webcam has high profit margin, chances of pricing efficiency.</t>
  </si>
  <si>
    <t>• Supplier D driving high profit but has 15 days lead time, should be improved for inventory benefits.</t>
  </si>
  <si>
    <t>• Furniture products has high revenue but in terms of profit they are lacking, optimizing this can give rapid growth.</t>
  </si>
  <si>
    <t>• Some products are more costly with average profit margin, measures in holding cost could be profitable.</t>
  </si>
  <si>
    <t>• Certain products are stuck in inventory, which leads to a fall in profitability.</t>
  </si>
  <si>
    <t>ok</t>
  </si>
  <si>
    <t>Inventory profitability &amp; Operations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</si>
</sst>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 #,##0"/>
    <numFmt numFmtId="165" formatCode="0\%"/>
    <numFmt numFmtId="166" formatCode="&quot;₹&quot;\ #,##0.00"/>
  </numFmts>
  <fonts count="13" x14ac:knownFonts="1">
    <font>
      <sz val="11"/>
      <color theme="1"/>
      <name val="Calibri"/>
      <family val="2"/>
      <scheme val="minor"/>
    </font>
    <font>
      <sz val="8"/>
      <name val="Calibri"/>
      <family val="2"/>
      <scheme val="minor"/>
    </font>
    <font>
      <b/>
      <sz val="18"/>
      <color theme="1"/>
      <name val="Calibri"/>
      <family val="2"/>
      <scheme val="minor"/>
    </font>
    <font>
      <b/>
      <sz val="28"/>
      <color theme="1"/>
      <name val="Calibri"/>
      <family val="2"/>
      <scheme val="minor"/>
    </font>
    <font>
      <b/>
      <sz val="11"/>
      <color theme="1"/>
      <name val="Calibri"/>
      <family val="2"/>
      <scheme val="minor"/>
    </font>
    <font>
      <b/>
      <sz val="16"/>
      <color theme="1"/>
      <name val="Calibri"/>
      <family val="2"/>
      <scheme val="minor"/>
    </font>
    <font>
      <b/>
      <sz val="20"/>
      <color theme="1"/>
      <name val="Calibri"/>
      <family val="2"/>
      <scheme val="minor"/>
    </font>
    <font>
      <b/>
      <sz val="13"/>
      <color theme="1"/>
      <name val="Calibri"/>
      <family val="2"/>
      <scheme val="minor"/>
    </font>
    <font>
      <b/>
      <u/>
      <sz val="11"/>
      <color theme="1"/>
      <name val="Calibri"/>
      <family val="2"/>
      <scheme val="minor"/>
    </font>
    <font>
      <u/>
      <sz val="11"/>
      <color theme="10"/>
      <name val="Calibri"/>
      <family val="2"/>
      <scheme val="minor"/>
    </font>
    <font>
      <b/>
      <u/>
      <sz val="18"/>
      <color theme="10"/>
      <name val="Calibri"/>
      <family val="2"/>
      <scheme val="minor"/>
    </font>
    <font>
      <b/>
      <sz val="11"/>
      <color theme="0"/>
      <name val="Calibri"/>
      <family val="2"/>
      <scheme val="minor"/>
    </font>
    <font>
      <sz val="12"/>
      <color theme="1"/>
      <name val="Calibri"/>
      <family val="2"/>
      <scheme val="minor"/>
    </font>
  </fonts>
  <fills count="6">
    <fill>
      <patternFill patternType="none"/>
    </fill>
    <fill>
      <patternFill patternType="gray125"/>
    </fill>
    <fill>
      <patternFill patternType="solid">
        <fgColor theme="9" tint="0.79998168889431442"/>
        <bgColor theme="9" tint="0.79998168889431442"/>
      </patternFill>
    </fill>
    <fill>
      <patternFill patternType="solid">
        <fgColor rgb="FFB9F5BF"/>
        <bgColor indexed="64"/>
      </patternFill>
    </fill>
    <fill>
      <patternFill patternType="solid">
        <fgColor theme="0"/>
        <bgColor indexed="64"/>
      </patternFill>
    </fill>
    <fill>
      <patternFill patternType="solid">
        <fgColor theme="4"/>
        <bgColor theme="4"/>
      </patternFill>
    </fill>
  </fills>
  <borders count="30">
    <border>
      <left/>
      <right/>
      <top/>
      <bottom/>
      <diagonal/>
    </border>
    <border>
      <left style="thin">
        <color theme="9"/>
      </left>
      <right/>
      <top style="thin">
        <color theme="9"/>
      </top>
      <bottom/>
      <diagonal/>
    </border>
    <border>
      <left style="thin">
        <color theme="9"/>
      </left>
      <right/>
      <top style="medium">
        <color theme="9"/>
      </top>
      <bottom/>
      <diagonal/>
    </border>
    <border>
      <left style="thin">
        <color theme="9"/>
      </left>
      <right/>
      <top style="thin">
        <color theme="9"/>
      </top>
      <bottom style="thin">
        <color theme="9"/>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theme="9"/>
      </top>
      <bottom/>
      <diagonal/>
    </border>
    <border>
      <left/>
      <right/>
      <top style="medium">
        <color theme="9"/>
      </top>
      <bottom/>
      <diagonal/>
    </border>
    <border>
      <left/>
      <right/>
      <top style="thin">
        <color theme="9"/>
      </top>
      <bottom style="thin">
        <color theme="9"/>
      </bottom>
      <diagonal/>
    </border>
    <border>
      <left style="thin">
        <color theme="9"/>
      </left>
      <right/>
      <top/>
      <bottom/>
      <diagonal/>
    </border>
    <border>
      <left/>
      <right style="thin">
        <color theme="9"/>
      </right>
      <top style="thin">
        <color theme="9"/>
      </top>
      <bottom/>
      <diagonal/>
    </border>
    <border>
      <left/>
      <right/>
      <top style="medium">
        <color theme="9"/>
      </top>
      <bottom style="thin">
        <color theme="4" tint="0.39997558519241921"/>
      </bottom>
      <diagonal/>
    </border>
    <border>
      <left/>
      <right style="thin">
        <color theme="9"/>
      </right>
      <top style="medium">
        <color theme="9"/>
      </top>
      <bottom/>
      <diagonal/>
    </border>
    <border>
      <left/>
      <right style="thin">
        <color theme="9"/>
      </right>
      <top style="thin">
        <color theme="9"/>
      </top>
      <bottom style="thin">
        <color theme="9"/>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9" fillId="0" borderId="0" applyNumberFormat="0" applyFill="0" applyBorder="0" applyAlignment="0" applyProtection="0"/>
  </cellStyleXfs>
  <cellXfs count="86">
    <xf numFmtId="0" fontId="0" fillId="0" borderId="0" xfId="0"/>
    <xf numFmtId="164" fontId="0" fillId="0" borderId="0" xfId="0" applyNumberFormat="1"/>
    <xf numFmtId="0" fontId="0" fillId="0" borderId="0" xfId="0" applyAlignment="1">
      <alignment horizontal="left"/>
    </xf>
    <xf numFmtId="0" fontId="0" fillId="2" borderId="2" xfId="0" applyFont="1" applyFill="1" applyBorder="1"/>
    <xf numFmtId="164" fontId="0" fillId="2" borderId="2" xfId="0" applyNumberFormat="1" applyFont="1" applyFill="1" applyBorder="1"/>
    <xf numFmtId="0" fontId="0" fillId="2" borderId="2" xfId="0" applyFont="1" applyFill="1" applyBorder="1" applyAlignment="1">
      <alignment horizontal="center"/>
    </xf>
    <xf numFmtId="165" fontId="0" fillId="2" borderId="2" xfId="0" applyNumberFormat="1" applyFont="1" applyFill="1" applyBorder="1"/>
    <xf numFmtId="164" fontId="0" fillId="2" borderId="2" xfId="0" applyNumberFormat="1" applyFont="1" applyFill="1" applyBorder="1" applyAlignment="1">
      <alignment horizontal="right"/>
    </xf>
    <xf numFmtId="2" fontId="0" fillId="2" borderId="2" xfId="0" applyNumberFormat="1" applyFont="1" applyFill="1" applyBorder="1" applyAlignment="1">
      <alignment horizontal="center"/>
    </xf>
    <xf numFmtId="164" fontId="0" fillId="2" borderId="2" xfId="0" applyNumberFormat="1" applyFont="1" applyFill="1" applyBorder="1" applyAlignment="1">
      <alignment horizontal="center"/>
    </xf>
    <xf numFmtId="0" fontId="0" fillId="0" borderId="1" xfId="0" applyFont="1" applyBorder="1"/>
    <xf numFmtId="164" fontId="0" fillId="0" borderId="1" xfId="0" applyNumberFormat="1" applyFont="1" applyBorder="1"/>
    <xf numFmtId="0" fontId="0" fillId="0" borderId="1" xfId="0" applyFont="1" applyBorder="1" applyAlignment="1">
      <alignment horizontal="center"/>
    </xf>
    <xf numFmtId="165" fontId="0" fillId="0" borderId="1" xfId="0" applyNumberFormat="1" applyFont="1" applyBorder="1"/>
    <xf numFmtId="164" fontId="0" fillId="0" borderId="1" xfId="0" applyNumberFormat="1" applyFont="1" applyBorder="1" applyAlignment="1">
      <alignment horizontal="right"/>
    </xf>
    <xf numFmtId="2" fontId="0" fillId="0" borderId="1" xfId="0" applyNumberFormat="1" applyFont="1" applyBorder="1" applyAlignment="1">
      <alignment horizontal="center"/>
    </xf>
    <xf numFmtId="164" fontId="0" fillId="0" borderId="1" xfId="0" applyNumberFormat="1" applyFont="1" applyBorder="1" applyAlignment="1">
      <alignment horizontal="center"/>
    </xf>
    <xf numFmtId="0" fontId="0" fillId="2" borderId="1" xfId="0" applyFont="1" applyFill="1" applyBorder="1"/>
    <xf numFmtId="164" fontId="0" fillId="2" borderId="1" xfId="0" applyNumberFormat="1" applyFont="1" applyFill="1" applyBorder="1"/>
    <xf numFmtId="0" fontId="0" fillId="2" borderId="1" xfId="0" applyFont="1" applyFill="1" applyBorder="1" applyAlignment="1">
      <alignment horizontal="center"/>
    </xf>
    <xf numFmtId="165" fontId="0" fillId="2" borderId="1" xfId="0" applyNumberFormat="1" applyFont="1" applyFill="1" applyBorder="1"/>
    <xf numFmtId="164" fontId="0" fillId="2" borderId="1" xfId="0" applyNumberFormat="1" applyFont="1" applyFill="1" applyBorder="1" applyAlignment="1">
      <alignment horizontal="right"/>
    </xf>
    <xf numFmtId="2" fontId="0" fillId="2" borderId="1" xfId="0" applyNumberFormat="1" applyFont="1" applyFill="1" applyBorder="1" applyAlignment="1">
      <alignment horizontal="center"/>
    </xf>
    <xf numFmtId="164" fontId="0" fillId="2" borderId="1" xfId="0" applyNumberFormat="1" applyFont="1" applyFill="1" applyBorder="1" applyAlignment="1">
      <alignment horizontal="center"/>
    </xf>
    <xf numFmtId="2" fontId="0" fillId="2" borderId="3" xfId="0" applyNumberFormat="1" applyFont="1" applyFill="1" applyBorder="1" applyAlignment="1">
      <alignment horizontal="center"/>
    </xf>
    <xf numFmtId="164" fontId="0" fillId="2" borderId="3" xfId="0" applyNumberFormat="1" applyFont="1" applyFill="1" applyBorder="1" applyAlignment="1">
      <alignment horizontal="center"/>
    </xf>
    <xf numFmtId="0" fontId="0" fillId="0" borderId="0" xfId="0" pivotButton="1"/>
    <xf numFmtId="0" fontId="0" fillId="0" borderId="0" xfId="0" applyNumberFormat="1"/>
    <xf numFmtId="2" fontId="0" fillId="0" borderId="0" xfId="0" applyNumberFormat="1"/>
    <xf numFmtId="0" fontId="0" fillId="0" borderId="0" xfId="0" applyAlignment="1">
      <alignment horizontal="right"/>
    </xf>
    <xf numFmtId="0" fontId="5" fillId="0" borderId="0" xfId="0" applyFont="1"/>
    <xf numFmtId="0" fontId="4" fillId="0" borderId="0" xfId="0" applyFont="1"/>
    <xf numFmtId="0" fontId="0" fillId="0" borderId="0" xfId="0" applyAlignment="1">
      <alignment horizontal="left"/>
    </xf>
    <xf numFmtId="164" fontId="0" fillId="0" borderId="0" xfId="0" applyNumberFormat="1" applyAlignment="1">
      <alignment horizontal="left"/>
    </xf>
    <xf numFmtId="166" fontId="0" fillId="0" borderId="0" xfId="0" applyNumberFormat="1"/>
    <xf numFmtId="0" fontId="0" fillId="0" borderId="0" xfId="0" applyBorder="1"/>
    <xf numFmtId="0" fontId="0" fillId="2" borderId="13" xfId="0" applyFont="1" applyFill="1" applyBorder="1"/>
    <xf numFmtId="0" fontId="0" fillId="0" borderId="12" xfId="0" applyFont="1" applyBorder="1"/>
    <xf numFmtId="0" fontId="0" fillId="2" borderId="12" xfId="0" applyFont="1" applyFill="1" applyBorder="1"/>
    <xf numFmtId="0" fontId="11" fillId="5" borderId="12" xfId="0" applyFont="1" applyFill="1" applyBorder="1" applyAlignment="1">
      <alignment wrapText="1"/>
    </xf>
    <xf numFmtId="2" fontId="0" fillId="2" borderId="13" xfId="0" applyNumberFormat="1" applyFont="1" applyFill="1" applyBorder="1" applyAlignment="1">
      <alignment horizontal="center"/>
    </xf>
    <xf numFmtId="2" fontId="0" fillId="0" borderId="12" xfId="0" applyNumberFormat="1" applyFont="1" applyBorder="1" applyAlignment="1">
      <alignment horizontal="center"/>
    </xf>
    <xf numFmtId="2" fontId="0" fillId="2" borderId="12" xfId="0" applyNumberFormat="1" applyFont="1" applyFill="1" applyBorder="1" applyAlignment="1">
      <alignment horizontal="center"/>
    </xf>
    <xf numFmtId="2" fontId="0" fillId="2" borderId="14" xfId="0" applyNumberFormat="1" applyFont="1" applyFill="1" applyBorder="1" applyAlignment="1">
      <alignment horizontal="center"/>
    </xf>
    <xf numFmtId="0" fontId="11" fillId="5" borderId="0" xfId="0" applyFont="1" applyFill="1" applyBorder="1"/>
    <xf numFmtId="0" fontId="11" fillId="5" borderId="15" xfId="0" applyFont="1" applyFill="1" applyBorder="1"/>
    <xf numFmtId="0" fontId="11" fillId="5" borderId="15" xfId="0" applyFont="1" applyFill="1" applyBorder="1" applyAlignment="1">
      <alignment wrapText="1"/>
    </xf>
    <xf numFmtId="164" fontId="0" fillId="2" borderId="13" xfId="0" applyNumberFormat="1" applyFont="1" applyFill="1" applyBorder="1" applyAlignment="1">
      <alignment horizontal="center" vertical="top"/>
    </xf>
    <xf numFmtId="164" fontId="0" fillId="2" borderId="17" xfId="0" applyNumberFormat="1" applyFont="1" applyFill="1" applyBorder="1" applyAlignment="1">
      <alignment horizontal="center" vertical="top"/>
    </xf>
    <xf numFmtId="0" fontId="11" fillId="5" borderId="16" xfId="0" applyFont="1" applyFill="1" applyBorder="1" applyAlignment="1">
      <alignment wrapText="1"/>
    </xf>
    <xf numFmtId="0" fontId="0" fillId="2" borderId="18" xfId="0" applyFont="1" applyFill="1" applyBorder="1" applyAlignment="1">
      <alignment horizontal="center"/>
    </xf>
    <xf numFmtId="0" fontId="0" fillId="0" borderId="16" xfId="0" applyFont="1" applyBorder="1" applyAlignment="1">
      <alignment horizontal="center"/>
    </xf>
    <xf numFmtId="0" fontId="0" fillId="2" borderId="16" xfId="0" applyFont="1" applyFill="1" applyBorder="1" applyAlignment="1">
      <alignment horizontal="center"/>
    </xf>
    <xf numFmtId="0" fontId="0" fillId="2" borderId="19" xfId="0" applyFont="1" applyFill="1" applyBorder="1" applyAlignment="1">
      <alignment horizontal="center"/>
    </xf>
    <xf numFmtId="0" fontId="2" fillId="0" borderId="21" xfId="0" applyFont="1" applyBorder="1"/>
    <xf numFmtId="0" fontId="0" fillId="0" borderId="21" xfId="0" applyBorder="1"/>
    <xf numFmtId="0" fontId="0" fillId="0" borderId="22" xfId="0" applyBorder="1"/>
    <xf numFmtId="0" fontId="0" fillId="0" borderId="23" xfId="0" applyBorder="1"/>
    <xf numFmtId="0" fontId="0" fillId="0" borderId="25" xfId="0" applyBorder="1"/>
    <xf numFmtId="0" fontId="2" fillId="0" borderId="26" xfId="0" applyFont="1" applyBorder="1"/>
    <xf numFmtId="0" fontId="12" fillId="0" borderId="0" xfId="0" applyFont="1" applyBorder="1"/>
    <xf numFmtId="0" fontId="12" fillId="0" borderId="27" xfId="0" applyFont="1" applyBorder="1"/>
    <xf numFmtId="0" fontId="12" fillId="0" borderId="28" xfId="0" applyFont="1" applyBorder="1"/>
    <xf numFmtId="0" fontId="12" fillId="0" borderId="24" xfId="0" applyFont="1" applyBorder="1"/>
    <xf numFmtId="0" fontId="12" fillId="0" borderId="23" xfId="0" applyFont="1" applyBorder="1"/>
    <xf numFmtId="0" fontId="12" fillId="0" borderId="25" xfId="0" applyFont="1" applyBorder="1"/>
    <xf numFmtId="0" fontId="7" fillId="0" borderId="20" xfId="0" applyFont="1" applyBorder="1" applyAlignment="1">
      <alignment horizontal="center"/>
    </xf>
    <xf numFmtId="0" fontId="0" fillId="0" borderId="0" xfId="0" applyAlignment="1">
      <alignment horizontal="left"/>
    </xf>
    <xf numFmtId="0" fontId="0" fillId="0" borderId="0" xfId="0" applyAlignment="1">
      <alignment horizontal="left"/>
    </xf>
    <xf numFmtId="164" fontId="6" fillId="4" borderId="29" xfId="0" applyNumberFormat="1" applyFont="1" applyFill="1" applyBorder="1" applyAlignment="1">
      <alignment horizontal="center"/>
    </xf>
    <xf numFmtId="0" fontId="7" fillId="0" borderId="0" xfId="0" applyFont="1" applyBorder="1" applyAlignment="1">
      <alignment horizontal="center"/>
    </xf>
    <xf numFmtId="164" fontId="6" fillId="0" borderId="29" xfId="0" applyNumberFormat="1" applyFont="1" applyBorder="1" applyAlignment="1">
      <alignment horizontal="center"/>
    </xf>
    <xf numFmtId="10" fontId="6" fillId="0" borderId="29" xfId="0" applyNumberFormat="1" applyFont="1" applyBorder="1" applyAlignment="1">
      <alignment horizontal="center"/>
    </xf>
    <xf numFmtId="0" fontId="2" fillId="0" borderId="0" xfId="0" applyFont="1" applyAlignment="1">
      <alignment horizontal="left"/>
    </xf>
    <xf numFmtId="0" fontId="0" fillId="0" borderId="0" xfId="0" applyAlignment="1">
      <alignment horizontal="left"/>
    </xf>
    <xf numFmtId="0" fontId="8" fillId="3" borderId="4" xfId="0" applyFont="1" applyFill="1" applyBorder="1"/>
    <xf numFmtId="0" fontId="8" fillId="3" borderId="5" xfId="0" applyFont="1" applyFill="1" applyBorder="1"/>
    <xf numFmtId="0" fontId="8" fillId="3" borderId="6" xfId="0" applyFont="1" applyFill="1" applyBorder="1"/>
    <xf numFmtId="0" fontId="3" fillId="3" borderId="7" xfId="0" applyFont="1" applyFill="1" applyBorder="1" applyAlignment="1">
      <alignment horizontal="left" wrapText="1"/>
    </xf>
    <xf numFmtId="0" fontId="3" fillId="3" borderId="0" xfId="0" applyFont="1" applyFill="1" applyBorder="1" applyAlignment="1">
      <alignment horizontal="left" wrapText="1"/>
    </xf>
    <xf numFmtId="0" fontId="3" fillId="3" borderId="8" xfId="0" applyFont="1" applyFill="1" applyBorder="1" applyAlignment="1">
      <alignment horizontal="left" wrapText="1"/>
    </xf>
    <xf numFmtId="0" fontId="8" fillId="3" borderId="9" xfId="0" applyFont="1" applyFill="1" applyBorder="1" applyAlignment="1">
      <alignment textRotation="180"/>
    </xf>
    <xf numFmtId="0" fontId="8" fillId="3" borderId="10" xfId="0" applyFont="1" applyFill="1" applyBorder="1" applyAlignment="1">
      <alignment textRotation="180"/>
    </xf>
    <xf numFmtId="0" fontId="8" fillId="3" borderId="11" xfId="0" applyFont="1" applyFill="1" applyBorder="1" applyAlignment="1">
      <alignment textRotation="180"/>
    </xf>
    <xf numFmtId="0" fontId="10" fillId="0" borderId="0" xfId="1" applyFont="1" applyBorder="1" applyAlignment="1">
      <alignment horizontal="center"/>
    </xf>
    <xf numFmtId="164" fontId="6" fillId="4" borderId="0" xfId="0" applyNumberFormat="1" applyFont="1" applyFill="1" applyBorder="1" applyAlignment="1">
      <alignment horizontal="center"/>
    </xf>
  </cellXfs>
  <cellStyles count="2">
    <cellStyle name="Hyperlink" xfId="1" builtinId="8"/>
    <cellStyle name="Normal" xfId="0" builtinId="0"/>
  </cellStyles>
  <dxfs count="29">
    <dxf>
      <alignment horizontal="right"/>
    </dxf>
    <dxf>
      <alignment horizontal="right"/>
    </dxf>
    <dxf>
      <numFmt numFmtId="2" formatCode="0.00"/>
    </dxf>
    <dxf>
      <alignment horizontal="right"/>
    </dxf>
    <dxf>
      <alignment horizontal="right"/>
    </dxf>
    <dxf>
      <font>
        <b val="0"/>
        <i val="0"/>
        <strike val="0"/>
        <condense val="0"/>
        <extend val="0"/>
        <outline val="0"/>
        <shadow val="0"/>
        <u val="none"/>
        <vertAlign val="baseline"/>
        <sz val="11"/>
        <color theme="1"/>
        <name val="Calibri"/>
        <family val="2"/>
        <scheme val="minor"/>
      </font>
      <numFmt numFmtId="2" formatCode="0.00"/>
      <fill>
        <patternFill patternType="solid">
          <fgColor theme="9" tint="0.79998168889431442"/>
          <bgColor theme="9" tint="0.79998168889431442"/>
        </patternFill>
      </fill>
      <alignment horizontal="center" vertical="bottom" textRotation="0" wrapText="0" indent="0" justifyLastLine="0" shrinkToFit="0" readingOrder="0"/>
      <border diagonalUp="0" diagonalDown="0">
        <left style="thin">
          <color theme="9"/>
        </left>
        <right/>
        <top style="thin">
          <color theme="9"/>
        </top>
        <bottom/>
        <vertical/>
        <horizontal/>
      </border>
    </dxf>
    <dxf>
      <font>
        <b val="0"/>
        <i val="0"/>
        <strike val="0"/>
        <condense val="0"/>
        <extend val="0"/>
        <outline val="0"/>
        <shadow val="0"/>
        <u val="none"/>
        <vertAlign val="baseline"/>
        <sz val="11"/>
        <color theme="1"/>
        <name val="Calibri"/>
        <family val="2"/>
        <scheme val="minor"/>
      </font>
      <numFmt numFmtId="164" formatCode="&quot;₹&quot;\ #,##0"/>
      <fill>
        <patternFill patternType="solid">
          <fgColor theme="9" tint="0.79998168889431442"/>
          <bgColor theme="9" tint="0.79998168889431442"/>
        </patternFill>
      </fill>
      <alignment horizontal="center" vertical="bottom" textRotation="0" wrapText="0" indent="0" justifyLastLine="0" shrinkToFit="0" readingOrder="0"/>
      <border diagonalUp="0" diagonalDown="0">
        <left style="thin">
          <color theme="9"/>
        </left>
        <right/>
        <top style="thin">
          <color theme="9"/>
        </top>
        <bottom/>
        <vertical/>
        <horizontal/>
      </border>
    </dxf>
    <dxf>
      <font>
        <b val="0"/>
        <i val="0"/>
        <strike val="0"/>
        <condense val="0"/>
        <extend val="0"/>
        <outline val="0"/>
        <shadow val="0"/>
        <u val="none"/>
        <vertAlign val="baseline"/>
        <sz val="11"/>
        <color theme="1"/>
        <name val="Calibri"/>
        <family val="2"/>
        <scheme val="minor"/>
      </font>
      <numFmt numFmtId="164" formatCode="&quot;₹&quot;\ #,##0"/>
      <fill>
        <patternFill patternType="solid">
          <fgColor theme="9" tint="0.79998168889431442"/>
          <bgColor theme="9" tint="0.79998168889431442"/>
        </patternFill>
      </fill>
      <alignment horizontal="center" vertical="top" textRotation="0" wrapText="0" indent="0" justifyLastLine="0" shrinkToFit="0" readingOrder="0"/>
      <border diagonalUp="0" diagonalDown="0">
        <left/>
        <right/>
        <top style="medium">
          <color theme="9"/>
        </top>
        <bottom/>
        <vertical/>
        <horizontal/>
      </border>
    </dxf>
    <dxf>
      <border outline="0">
        <left style="thin">
          <color theme="9"/>
        </left>
        <right style="thin">
          <color theme="9"/>
        </right>
        <top style="thin">
          <color theme="9"/>
        </top>
      </border>
    </dxf>
    <dxf>
      <font>
        <b val="0"/>
        <i val="0"/>
        <strike val="0"/>
        <condense val="0"/>
        <extend val="0"/>
        <outline val="0"/>
        <shadow val="0"/>
        <u val="none"/>
        <vertAlign val="baseline"/>
        <sz val="11"/>
        <color theme="1"/>
        <name val="Calibri"/>
        <family val="2"/>
        <scheme val="minor"/>
      </font>
      <numFmt numFmtId="2" formatCode="0.00"/>
      <fill>
        <patternFill patternType="solid">
          <fgColor theme="9" tint="0.79998168889431442"/>
          <bgColor theme="9" tint="0.79998168889431442"/>
        </patternFill>
      </fill>
      <alignment horizontal="center" vertical="bottom" textRotation="0" wrapText="0" indent="0" justifyLastLine="0" shrinkToFit="0" readingOrder="0"/>
      <border diagonalUp="0" diagonalDown="0">
        <left style="thin">
          <color theme="9"/>
        </left>
        <right/>
        <top style="thin">
          <color theme="9"/>
        </top>
        <bottom/>
        <vertical/>
        <horizontal/>
      </border>
    </dxf>
    <dxf>
      <font>
        <b val="0"/>
        <i val="0"/>
        <strike val="0"/>
        <condense val="0"/>
        <extend val="0"/>
        <outline val="0"/>
        <shadow val="0"/>
        <u val="none"/>
        <vertAlign val="baseline"/>
        <sz val="11"/>
        <color theme="1"/>
        <name val="Calibri"/>
        <family val="2"/>
        <scheme val="minor"/>
      </font>
      <numFmt numFmtId="164" formatCode="&quot;₹&quot;\ #,##0"/>
      <fill>
        <patternFill patternType="solid">
          <fgColor theme="9" tint="0.79998168889431442"/>
          <bgColor theme="9" tint="0.79998168889431442"/>
        </patternFill>
      </fill>
      <alignment horizontal="right" vertical="bottom" textRotation="0" wrapText="0" indent="0" justifyLastLine="0" shrinkToFit="0" readingOrder="0"/>
      <border diagonalUp="0" diagonalDown="0">
        <left style="thin">
          <color theme="9"/>
        </left>
        <right/>
        <top style="thin">
          <color theme="9"/>
        </top>
        <bottom/>
        <vertical/>
        <horizontal/>
      </border>
    </dxf>
    <dxf>
      <font>
        <b val="0"/>
        <i val="0"/>
        <strike val="0"/>
        <condense val="0"/>
        <extend val="0"/>
        <outline val="0"/>
        <shadow val="0"/>
        <u val="none"/>
        <vertAlign val="baseline"/>
        <sz val="11"/>
        <color theme="1"/>
        <name val="Calibri"/>
        <family val="2"/>
        <scheme val="minor"/>
      </font>
      <numFmt numFmtId="2" formatCode="0.00"/>
      <fill>
        <patternFill patternType="solid">
          <fgColor theme="9" tint="0.79998168889431442"/>
          <bgColor theme="9" tint="0.79998168889431442"/>
        </patternFill>
      </fill>
      <alignment horizontal="center" vertical="bottom" textRotation="0" wrapText="0" indent="0" justifyLastLine="0" shrinkToFit="0" readingOrder="0"/>
      <border diagonalUp="0" diagonalDown="0">
        <left style="thin">
          <color theme="9"/>
        </left>
        <right/>
        <top style="thin">
          <color theme="9"/>
        </top>
        <bottom/>
        <vertical/>
        <horizontal/>
      </border>
    </dxf>
    <dxf>
      <font>
        <b val="0"/>
        <i val="0"/>
        <strike val="0"/>
        <condense val="0"/>
        <extend val="0"/>
        <outline val="0"/>
        <shadow val="0"/>
        <u val="none"/>
        <vertAlign val="baseline"/>
        <sz val="11"/>
        <color theme="1"/>
        <name val="Calibri"/>
        <family val="2"/>
        <scheme val="minor"/>
      </font>
      <numFmt numFmtId="164" formatCode="&quot;₹&quot;\ #,##0"/>
      <fill>
        <patternFill patternType="solid">
          <fgColor theme="9" tint="0.79998168889431442"/>
          <bgColor theme="9" tint="0.79998168889431442"/>
        </patternFill>
      </fill>
      <alignment horizontal="right" vertical="bottom" textRotation="0" wrapText="0" indent="0" justifyLastLine="0" shrinkToFit="0" readingOrder="0"/>
      <border diagonalUp="0" diagonalDown="0">
        <left style="thin">
          <color theme="9"/>
        </left>
        <right/>
        <top style="thin">
          <color theme="9"/>
        </top>
        <bottom/>
        <vertical/>
        <horizontal/>
      </border>
    </dxf>
    <dxf>
      <font>
        <b val="0"/>
        <i val="0"/>
        <strike val="0"/>
        <condense val="0"/>
        <extend val="0"/>
        <outline val="0"/>
        <shadow val="0"/>
        <u val="none"/>
        <vertAlign val="baseline"/>
        <sz val="11"/>
        <color theme="1"/>
        <name val="Calibri"/>
        <family val="2"/>
        <scheme val="minor"/>
      </font>
      <numFmt numFmtId="164" formatCode="&quot;₹&quot;\ #,##0"/>
      <fill>
        <patternFill patternType="solid">
          <fgColor theme="9" tint="0.79998168889431442"/>
          <bgColor theme="9" tint="0.79998168889431442"/>
        </patternFill>
      </fill>
      <alignment horizontal="right" vertical="bottom" textRotation="0" wrapText="0" indent="0" justifyLastLine="0" shrinkToFit="0" readingOrder="0"/>
      <border diagonalUp="0" diagonalDown="0">
        <left style="thin">
          <color theme="9"/>
        </left>
        <right/>
        <top style="thin">
          <color theme="9"/>
        </top>
        <bottom/>
        <vertical/>
        <horizontal/>
      </border>
    </dxf>
    <dxf>
      <font>
        <b val="0"/>
        <i val="0"/>
        <strike val="0"/>
        <condense val="0"/>
        <extend val="0"/>
        <outline val="0"/>
        <shadow val="0"/>
        <u val="none"/>
        <vertAlign val="baseline"/>
        <sz val="11"/>
        <color theme="1"/>
        <name val="Calibri"/>
        <family val="2"/>
        <scheme val="minor"/>
      </font>
      <numFmt numFmtId="164" formatCode="&quot;₹&quot;\ #,##0"/>
      <fill>
        <patternFill patternType="solid">
          <fgColor theme="9" tint="0.79998168889431442"/>
          <bgColor theme="9" tint="0.79998168889431442"/>
        </patternFill>
      </fill>
      <alignment horizontal="right" vertical="bottom" textRotation="0" wrapText="0" indent="0" justifyLastLine="0" shrinkToFit="0" readingOrder="0"/>
      <border diagonalUp="0" diagonalDown="0">
        <left style="thin">
          <color theme="9"/>
        </left>
        <right/>
        <top style="thin">
          <color theme="9"/>
        </top>
        <bottom/>
        <vertical/>
        <horizontal/>
      </border>
    </dxf>
    <dxf>
      <font>
        <b val="0"/>
        <i val="0"/>
        <strike val="0"/>
        <condense val="0"/>
        <extend val="0"/>
        <outline val="0"/>
        <shadow val="0"/>
        <u val="none"/>
        <vertAlign val="baseline"/>
        <sz val="11"/>
        <color theme="1"/>
        <name val="Calibri"/>
        <family val="2"/>
        <scheme val="minor"/>
      </font>
      <numFmt numFmtId="165" formatCode="0\%"/>
      <fill>
        <patternFill patternType="solid">
          <fgColor theme="9" tint="0.79998168889431442"/>
          <bgColor theme="9" tint="0.79998168889431442"/>
        </patternFill>
      </fill>
      <border diagonalUp="0" diagonalDown="0">
        <left style="thin">
          <color theme="9"/>
        </left>
        <right/>
        <top style="thin">
          <color theme="9"/>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alignment horizontal="center" vertical="bottom" textRotation="0" wrapText="0" indent="0" justifyLastLine="0" shrinkToFit="0" readingOrder="0"/>
      <border diagonalUp="0" diagonalDown="0">
        <left style="thin">
          <color theme="9"/>
        </left>
        <right/>
        <top style="thin">
          <color theme="9"/>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alignment horizontal="center" vertical="bottom" textRotation="0" wrapText="0" indent="0" justifyLastLine="0" shrinkToFit="0" readingOrder="0"/>
      <border diagonalUp="0" diagonalDown="0">
        <left style="thin">
          <color theme="9"/>
        </left>
        <right/>
        <top style="thin">
          <color theme="9"/>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alignment horizontal="center" vertical="bottom" textRotation="0" wrapText="0" indent="0" justifyLastLine="0" shrinkToFit="0" readingOrder="0"/>
      <border diagonalUp="0" diagonalDown="0">
        <left style="thin">
          <color theme="9"/>
        </left>
        <right/>
        <top style="thin">
          <color theme="9"/>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alignment horizontal="center" vertical="bottom" textRotation="0" wrapText="0" indent="0" justifyLastLine="0" shrinkToFit="0" readingOrder="0"/>
      <border diagonalUp="0" diagonalDown="0">
        <left style="thin">
          <color theme="9"/>
        </left>
        <right/>
        <top style="thin">
          <color theme="9"/>
        </top>
        <bottom/>
        <vertical/>
        <horizontal/>
      </border>
    </dxf>
    <dxf>
      <font>
        <b val="0"/>
        <i val="0"/>
        <strike val="0"/>
        <condense val="0"/>
        <extend val="0"/>
        <outline val="0"/>
        <shadow val="0"/>
        <u val="none"/>
        <vertAlign val="baseline"/>
        <sz val="11"/>
        <color theme="1"/>
        <name val="Calibri"/>
        <family val="2"/>
        <scheme val="minor"/>
      </font>
      <numFmt numFmtId="164" formatCode="&quot;₹&quot;\ #,##0"/>
      <fill>
        <patternFill patternType="solid">
          <fgColor theme="9" tint="0.79998168889431442"/>
          <bgColor theme="9" tint="0.79998168889431442"/>
        </patternFill>
      </fill>
      <border diagonalUp="0" diagonalDown="0">
        <left style="thin">
          <color theme="9"/>
        </left>
        <right/>
        <top style="thin">
          <color theme="9"/>
        </top>
        <bottom/>
        <vertical/>
        <horizontal/>
      </border>
    </dxf>
    <dxf>
      <font>
        <b val="0"/>
        <i val="0"/>
        <strike val="0"/>
        <condense val="0"/>
        <extend val="0"/>
        <outline val="0"/>
        <shadow val="0"/>
        <u val="none"/>
        <vertAlign val="baseline"/>
        <sz val="11"/>
        <color theme="1"/>
        <name val="Calibri"/>
        <family val="2"/>
        <scheme val="minor"/>
      </font>
      <numFmt numFmtId="164" formatCode="&quot;₹&quot;\ #,##0"/>
      <fill>
        <patternFill patternType="solid">
          <fgColor theme="9" tint="0.79998168889431442"/>
          <bgColor theme="9" tint="0.79998168889431442"/>
        </patternFill>
      </fill>
      <border diagonalUp="0" diagonalDown="0">
        <left style="thin">
          <color theme="9"/>
        </left>
        <right/>
        <top style="thin">
          <color theme="9"/>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style="thin">
          <color theme="9"/>
        </left>
        <right/>
        <top style="thin">
          <color theme="9"/>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style="thin">
          <color theme="9"/>
        </left>
        <right/>
        <top style="thin">
          <color theme="9"/>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style="thin">
          <color theme="9"/>
        </left>
        <right/>
        <top style="thin">
          <color theme="9"/>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op>
        <bottom/>
        <vertical/>
        <horizontal/>
      </border>
    </dxf>
    <dxf>
      <border outline="0">
        <left style="thin">
          <color theme="9"/>
        </left>
        <right style="thin">
          <color theme="9"/>
        </right>
        <top style="thin">
          <color theme="9"/>
        </top>
        <bottom style="thin">
          <color theme="9"/>
        </bottom>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alignment horizontal="right"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general" vertical="bottom" textRotation="0" wrapText="1" indent="0" justifyLastLine="0" shrinkToFit="0" readingOrder="0"/>
    </dxf>
  </dxfs>
  <tableStyles count="0" defaultTableStyle="TableStyleMedium2" defaultPivotStyle="PivotStyleLight16"/>
  <colors>
    <mruColors>
      <color rgb="FF5DE96A"/>
      <color rgb="FF009900"/>
      <color rgb="FF2EC327"/>
      <color rgb="FF0033CC"/>
      <color rgb="FF321547"/>
      <color rgb="FF117D1B"/>
      <color rgb="FFB9F5BF"/>
      <color rgb="FF3022E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3.xlsx]Category_analysis!PivotTable5</c:name>
    <c:fmtId val="37"/>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IN"/>
              <a:t>Category profit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EC327"/>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50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Category_analysis!$B$3</c:f>
              <c:strCache>
                <c:ptCount val="1"/>
                <c:pt idx="0">
                  <c:v> Revenue </c:v>
                </c:pt>
              </c:strCache>
            </c:strRef>
          </c:tx>
          <c:spPr>
            <a:solidFill>
              <a:srgbClr val="2EC327"/>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Category_analysis!$A$4:$A$7</c:f>
              <c:strCache>
                <c:ptCount val="3"/>
                <c:pt idx="0">
                  <c:v>electronics</c:v>
                </c:pt>
                <c:pt idx="1">
                  <c:v>furniture</c:v>
                </c:pt>
                <c:pt idx="2">
                  <c:v>stationary</c:v>
                </c:pt>
              </c:strCache>
            </c:strRef>
          </c:cat>
          <c:val>
            <c:numRef>
              <c:f>Category_analysis!$B$4:$B$7</c:f>
              <c:numCache>
                <c:formatCode>General</c:formatCode>
                <c:ptCount val="3"/>
                <c:pt idx="0">
                  <c:v>4811500</c:v>
                </c:pt>
                <c:pt idx="1">
                  <c:v>185000</c:v>
                </c:pt>
                <c:pt idx="2">
                  <c:v>42000</c:v>
                </c:pt>
              </c:numCache>
            </c:numRef>
          </c:val>
          <c:extLst>
            <c:ext xmlns:c16="http://schemas.microsoft.com/office/drawing/2014/chart" uri="{C3380CC4-5D6E-409C-BE32-E72D297353CC}">
              <c16:uniqueId val="{00000000-41E7-4A77-AE99-27CA621EE537}"/>
            </c:ext>
          </c:extLst>
        </c:ser>
        <c:ser>
          <c:idx val="1"/>
          <c:order val="1"/>
          <c:tx>
            <c:strRef>
              <c:f>Category_analysis!$C$3</c:f>
              <c:strCache>
                <c:ptCount val="1"/>
                <c:pt idx="0">
                  <c:v>  Total profit</c:v>
                </c:pt>
              </c:strCache>
            </c:strRef>
          </c:tx>
          <c:spPr>
            <a:solidFill>
              <a:schemeClr val="bg1">
                <a:lumMod val="50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Category_analysis!$A$4:$A$7</c:f>
              <c:strCache>
                <c:ptCount val="3"/>
                <c:pt idx="0">
                  <c:v>electronics</c:v>
                </c:pt>
                <c:pt idx="1">
                  <c:v>furniture</c:v>
                </c:pt>
                <c:pt idx="2">
                  <c:v>stationary</c:v>
                </c:pt>
              </c:strCache>
            </c:strRef>
          </c:cat>
          <c:val>
            <c:numRef>
              <c:f>Category_analysis!$C$4:$C$7</c:f>
              <c:numCache>
                <c:formatCode>General</c:formatCode>
                <c:ptCount val="3"/>
                <c:pt idx="0">
                  <c:v>1505000</c:v>
                </c:pt>
                <c:pt idx="1">
                  <c:v>50000</c:v>
                </c:pt>
                <c:pt idx="2">
                  <c:v>26000</c:v>
                </c:pt>
              </c:numCache>
            </c:numRef>
          </c:val>
          <c:extLst>
            <c:ext xmlns:c16="http://schemas.microsoft.com/office/drawing/2014/chart" uri="{C3380CC4-5D6E-409C-BE32-E72D297353CC}">
              <c16:uniqueId val="{00000001-41E7-4A77-AE99-27CA621EE537}"/>
            </c:ext>
          </c:extLst>
        </c:ser>
        <c:dLbls>
          <c:dLblPos val="outEnd"/>
          <c:showLegendKey val="0"/>
          <c:showVal val="1"/>
          <c:showCatName val="0"/>
          <c:showSerName val="0"/>
          <c:showPercent val="0"/>
          <c:showBubbleSize val="0"/>
        </c:dLbls>
        <c:gapWidth val="65"/>
        <c:axId val="1575879648"/>
        <c:axId val="1575878400"/>
      </c:barChart>
      <c:catAx>
        <c:axId val="157587964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tx1"/>
                </a:solidFill>
                <a:latin typeface="+mn-lt"/>
                <a:ea typeface="+mn-ea"/>
                <a:cs typeface="+mn-cs"/>
              </a:defRPr>
            </a:pPr>
            <a:endParaRPr lang="en-US"/>
          </a:p>
        </c:txPr>
        <c:crossAx val="1575878400"/>
        <c:crosses val="autoZero"/>
        <c:auto val="1"/>
        <c:lblAlgn val="ctr"/>
        <c:lblOffset val="100"/>
        <c:noMultiLvlLbl val="0"/>
      </c:catAx>
      <c:valAx>
        <c:axId val="157587840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57587964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dk1">
          <a:lumMod val="25000"/>
          <a:lumOff val="75000"/>
        </a:schemeClr>
      </a:solidFill>
      <a:round/>
    </a:ln>
    <a:effectLst>
      <a:outerShdw blurRad="63500" sx="102000" sy="102000" algn="ctr" rotWithShape="0">
        <a:prstClr val="black">
          <a:alpha val="40000"/>
        </a:prstClr>
      </a:outerShdw>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3.xlsx]Analysis!PivotTable1</c:name>
    <c:fmtId val="4"/>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solidFill>
                  <a:schemeClr val="tx1"/>
                </a:solidFill>
              </a:rPr>
              <a:t>Top 10 Products</a:t>
            </a:r>
            <a:r>
              <a:rPr lang="en-US" baseline="0">
                <a:solidFill>
                  <a:schemeClr val="tx1"/>
                </a:solidFill>
              </a:rPr>
              <a:t> based on profit</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EC327">
              <a:alpha val="85000"/>
            </a:srgb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Analysis!$B$3</c:f>
              <c:strCache>
                <c:ptCount val="1"/>
                <c:pt idx="0">
                  <c:v>Total</c:v>
                </c:pt>
              </c:strCache>
            </c:strRef>
          </c:tx>
          <c:spPr>
            <a:solidFill>
              <a:srgbClr val="2EC327">
                <a:alpha val="85000"/>
              </a:srgb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Analysis!$A$4:$A$14</c:f>
              <c:strCache>
                <c:ptCount val="10"/>
                <c:pt idx="0">
                  <c:v>pen pack</c:v>
                </c:pt>
                <c:pt idx="1">
                  <c:v>notebook</c:v>
                </c:pt>
                <c:pt idx="2">
                  <c:v>wireless mouse</c:v>
                </c:pt>
                <c:pt idx="3">
                  <c:v>hard disk</c:v>
                </c:pt>
                <c:pt idx="4">
                  <c:v>office chair</c:v>
                </c:pt>
                <c:pt idx="5">
                  <c:v>cables</c:v>
                </c:pt>
                <c:pt idx="6">
                  <c:v>gaming desk</c:v>
                </c:pt>
                <c:pt idx="7">
                  <c:v>monitor</c:v>
                </c:pt>
                <c:pt idx="8">
                  <c:v>cpu</c:v>
                </c:pt>
                <c:pt idx="9">
                  <c:v>smartphones</c:v>
                </c:pt>
              </c:strCache>
            </c:strRef>
          </c:cat>
          <c:val>
            <c:numRef>
              <c:f>Analysis!$B$4:$B$14</c:f>
              <c:numCache>
                <c:formatCode>General</c:formatCode>
                <c:ptCount val="10"/>
                <c:pt idx="0">
                  <c:v>12000</c:v>
                </c:pt>
                <c:pt idx="1">
                  <c:v>14000</c:v>
                </c:pt>
                <c:pt idx="2">
                  <c:v>15000</c:v>
                </c:pt>
                <c:pt idx="3">
                  <c:v>15000</c:v>
                </c:pt>
                <c:pt idx="4">
                  <c:v>20000</c:v>
                </c:pt>
                <c:pt idx="5">
                  <c:v>25000</c:v>
                </c:pt>
                <c:pt idx="6">
                  <c:v>30000</c:v>
                </c:pt>
                <c:pt idx="7">
                  <c:v>40000</c:v>
                </c:pt>
                <c:pt idx="8">
                  <c:v>125000</c:v>
                </c:pt>
                <c:pt idx="9">
                  <c:v>1250000</c:v>
                </c:pt>
              </c:numCache>
            </c:numRef>
          </c:val>
          <c:extLst>
            <c:ext xmlns:c16="http://schemas.microsoft.com/office/drawing/2014/chart" uri="{C3380CC4-5D6E-409C-BE32-E72D297353CC}">
              <c16:uniqueId val="{00000000-3F6C-404C-B913-1E27B5B1985D}"/>
            </c:ext>
          </c:extLst>
        </c:ser>
        <c:dLbls>
          <c:dLblPos val="inEnd"/>
          <c:showLegendKey val="0"/>
          <c:showVal val="1"/>
          <c:showCatName val="0"/>
          <c:showSerName val="0"/>
          <c:showPercent val="0"/>
          <c:showBubbleSize val="0"/>
        </c:dLbls>
        <c:gapWidth val="65"/>
        <c:axId val="832461999"/>
        <c:axId val="832453263"/>
      </c:barChart>
      <c:catAx>
        <c:axId val="832461999"/>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tx1">
                    <a:lumMod val="85000"/>
                    <a:lumOff val="15000"/>
                  </a:schemeClr>
                </a:solidFill>
                <a:latin typeface="+mn-lt"/>
                <a:ea typeface="+mn-ea"/>
                <a:cs typeface="+mn-cs"/>
              </a:defRPr>
            </a:pPr>
            <a:endParaRPr lang="en-US"/>
          </a:p>
        </c:txPr>
        <c:crossAx val="832453263"/>
        <c:crosses val="autoZero"/>
        <c:auto val="1"/>
        <c:lblAlgn val="ctr"/>
        <c:lblOffset val="100"/>
        <c:noMultiLvlLbl val="0"/>
      </c:catAx>
      <c:valAx>
        <c:axId val="832453263"/>
        <c:scaling>
          <c:logBase val="100"/>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32461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dk1">
          <a:lumMod val="25000"/>
          <a:lumOff val="7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IN">
                <a:solidFill>
                  <a:schemeClr val="tx1"/>
                </a:solidFill>
              </a:rPr>
              <a:t>Cost vs Profit</a:t>
            </a:r>
            <a:r>
              <a:rPr lang="en-IN" baseline="0">
                <a:solidFill>
                  <a:schemeClr val="tx1"/>
                </a:solidFill>
              </a:rPr>
              <a:t> margin (Pricing efficiency)</a:t>
            </a:r>
            <a:endParaRPr lang="en-IN">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lotArea>
      <c:layout>
        <c:manualLayout>
          <c:layoutTarget val="inner"/>
          <c:xMode val="edge"/>
          <c:yMode val="edge"/>
          <c:x val="0.10742181384990539"/>
          <c:y val="0.12252882910675654"/>
          <c:w val="0.85305230476751637"/>
          <c:h val="0.73603989799982816"/>
        </c:manualLayout>
      </c:layout>
      <c:scatterChart>
        <c:scatterStyle val="lineMarker"/>
        <c:varyColors val="0"/>
        <c:ser>
          <c:idx val="0"/>
          <c:order val="0"/>
          <c:tx>
            <c:v>cost per unit</c:v>
          </c:tx>
          <c:spPr>
            <a:ln w="25400" cap="rnd">
              <a:noFill/>
              <a:round/>
            </a:ln>
            <a:effectLst>
              <a:outerShdw blurRad="57150" dist="19050" dir="5400000" algn="ctr" rotWithShape="0">
                <a:srgbClr val="000000">
                  <a:alpha val="63000"/>
                </a:srgbClr>
              </a:outerShdw>
            </a:effectLst>
          </c:spPr>
          <c:marker>
            <c:symbol val="circle"/>
            <c:size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dPt>
            <c:idx val="0"/>
            <c:marker>
              <c:symbol val="circle"/>
              <c:size val="12"/>
              <c:spPr>
                <a:solidFill>
                  <a:srgbClr val="00B050"/>
                </a:solidFill>
                <a:ln w="9525" cap="rnd">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0-53D4-4DEF-BBEB-D7ECB3F11156}"/>
              </c:ext>
            </c:extLst>
          </c:dPt>
          <c:dPt>
            <c:idx val="2"/>
            <c:marker>
              <c:symbol val="circle"/>
              <c:size val="12"/>
              <c:spPr>
                <a:solidFill>
                  <a:srgbClr val="00B050"/>
                </a:solidFill>
                <a:ln w="9525" cap="rnd">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2-53D4-4DEF-BBEB-D7ECB3F11156}"/>
              </c:ext>
            </c:extLst>
          </c:dPt>
          <c:dPt>
            <c:idx val="3"/>
            <c:marker>
              <c:symbol val="circle"/>
              <c:size val="12"/>
              <c:spPr>
                <a:solidFill>
                  <a:srgbClr val="00B050"/>
                </a:solidFill>
                <a:ln w="9525" cap="rnd">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3-53D4-4DEF-BBEB-D7ECB3F11156}"/>
              </c:ext>
            </c:extLst>
          </c:dPt>
          <c:dPt>
            <c:idx val="4"/>
            <c:marker>
              <c:symbol val="circle"/>
              <c:size val="12"/>
              <c:spPr>
                <a:solidFill>
                  <a:srgbClr val="00B050"/>
                </a:solidFill>
                <a:ln w="9525" cap="rnd">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4-53D4-4DEF-BBEB-D7ECB3F11156}"/>
              </c:ext>
            </c:extLst>
          </c:dPt>
          <c:dPt>
            <c:idx val="5"/>
            <c:marker>
              <c:symbol val="circle"/>
              <c:size val="12"/>
              <c:spPr>
                <a:solidFill>
                  <a:srgbClr val="00B050"/>
                </a:solidFill>
                <a:ln w="9525" cap="rnd">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5-53D4-4DEF-BBEB-D7ECB3F11156}"/>
              </c:ext>
            </c:extLst>
          </c:dPt>
          <c:dPt>
            <c:idx val="7"/>
            <c:marker>
              <c:symbol val="circle"/>
              <c:size val="12"/>
              <c:spPr>
                <a:solidFill>
                  <a:srgbClr val="FF0000"/>
                </a:solidFill>
                <a:ln w="9525" cap="rnd">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7-53D4-4DEF-BBEB-D7ECB3F11156}"/>
              </c:ext>
            </c:extLst>
          </c:dPt>
          <c:dPt>
            <c:idx val="11"/>
            <c:marker>
              <c:symbol val="circle"/>
              <c:size val="12"/>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lin ang="2700000" scaled="1"/>
                  <a:tileRect/>
                </a:gradFill>
                <a:ln w="9525" cap="rnd">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B-53D4-4DEF-BBEB-D7ECB3F11156}"/>
              </c:ext>
            </c:extLst>
          </c:dPt>
          <c:dPt>
            <c:idx val="13"/>
            <c:marker>
              <c:symbol val="circle"/>
              <c:size val="12"/>
              <c:spPr>
                <a:solidFill>
                  <a:srgbClr val="FF0000"/>
                </a:solidFill>
                <a:ln w="9525" cap="rnd">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D-53D4-4DEF-BBEB-D7ECB3F11156}"/>
              </c:ext>
            </c:extLst>
          </c:dPt>
          <c:dLbls>
            <c:dLbl>
              <c:idx val="0"/>
              <c:tx>
                <c:rich>
                  <a:bodyPr/>
                  <a:lstStyle/>
                  <a:p>
                    <a:fld id="{EE54C2BB-BCD9-4916-AFC0-C95B7850D9E3}" type="CELLRANGE">
                      <a:rPr lang="en-US"/>
                      <a:pPr/>
                      <a:t>[CELLRANGE]</a:t>
                    </a:fld>
                    <a:endParaRPr lang="en-GB"/>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53D4-4DEF-BBEB-D7ECB3F11156}"/>
                </c:ext>
              </c:extLst>
            </c:dLbl>
            <c:dLbl>
              <c:idx val="1"/>
              <c:tx>
                <c:rich>
                  <a:bodyPr/>
                  <a:lstStyle/>
                  <a:p>
                    <a:fld id="{A2381DDF-4F35-4375-A273-DABF746000A2}" type="CELLRANGE">
                      <a:rPr lang="en-GB"/>
                      <a:pPr/>
                      <a:t>[CELLRANGE]</a:t>
                    </a:fld>
                    <a:endParaRPr lang="en-GB"/>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3D4-4DEF-BBEB-D7ECB3F11156}"/>
                </c:ext>
              </c:extLst>
            </c:dLbl>
            <c:dLbl>
              <c:idx val="2"/>
              <c:tx>
                <c:rich>
                  <a:bodyPr/>
                  <a:lstStyle/>
                  <a:p>
                    <a:fld id="{396D4F5C-F568-400C-BD66-3BA6D7567AED}" type="CELLRANGE">
                      <a:rPr lang="en-GB"/>
                      <a:pPr/>
                      <a:t>[CELLRANGE]</a:t>
                    </a:fld>
                    <a:endParaRPr lang="en-GB"/>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53D4-4DEF-BBEB-D7ECB3F11156}"/>
                </c:ext>
              </c:extLst>
            </c:dLbl>
            <c:dLbl>
              <c:idx val="3"/>
              <c:tx>
                <c:rich>
                  <a:bodyPr/>
                  <a:lstStyle/>
                  <a:p>
                    <a:fld id="{EA8E86E8-4589-48FC-8C44-1E93813DDAE5}" type="CELLRANGE">
                      <a:rPr lang="en-GB"/>
                      <a:pPr/>
                      <a:t>[CELLRANGE]</a:t>
                    </a:fld>
                    <a:endParaRPr lang="en-GB"/>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3D4-4DEF-BBEB-D7ECB3F11156}"/>
                </c:ext>
              </c:extLst>
            </c:dLbl>
            <c:dLbl>
              <c:idx val="4"/>
              <c:tx>
                <c:rich>
                  <a:bodyPr/>
                  <a:lstStyle/>
                  <a:p>
                    <a:fld id="{B35D8293-13AA-452D-B739-2F3EF7324013}" type="CELLRANGE">
                      <a:rPr lang="en-GB"/>
                      <a:pPr/>
                      <a:t>[CELLRANGE]</a:t>
                    </a:fld>
                    <a:endParaRPr lang="en-GB"/>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3D4-4DEF-BBEB-D7ECB3F11156}"/>
                </c:ext>
              </c:extLst>
            </c:dLbl>
            <c:dLbl>
              <c:idx val="5"/>
              <c:tx>
                <c:rich>
                  <a:bodyPr/>
                  <a:lstStyle/>
                  <a:p>
                    <a:fld id="{4BD78789-AE48-40CE-8A12-E0D157897759}" type="CELLRANGE">
                      <a:rPr lang="en-GB"/>
                      <a:pPr/>
                      <a:t>[CELLRANGE]</a:t>
                    </a:fld>
                    <a:endParaRPr lang="en-GB"/>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53D4-4DEF-BBEB-D7ECB3F11156}"/>
                </c:ext>
              </c:extLst>
            </c:dLbl>
            <c:dLbl>
              <c:idx val="6"/>
              <c:tx>
                <c:rich>
                  <a:bodyPr/>
                  <a:lstStyle/>
                  <a:p>
                    <a:fld id="{F00739B1-30EF-4702-9C0F-6D7C0F366784}" type="CELLRANGE">
                      <a:rPr lang="en-GB"/>
                      <a:pPr/>
                      <a:t>[CELLRANGE]</a:t>
                    </a:fld>
                    <a:endParaRPr lang="en-GB"/>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53D4-4DEF-BBEB-D7ECB3F11156}"/>
                </c:ext>
              </c:extLst>
            </c:dLbl>
            <c:dLbl>
              <c:idx val="7"/>
              <c:tx>
                <c:rich>
                  <a:bodyPr/>
                  <a:lstStyle/>
                  <a:p>
                    <a:fld id="{05DFD00F-27A5-429C-AE5D-C0D1AD1AEE5C}" type="CELLRANGE">
                      <a:rPr lang="en-GB"/>
                      <a:pPr/>
                      <a:t>[CELLRANGE]</a:t>
                    </a:fld>
                    <a:endParaRPr lang="en-GB"/>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53D4-4DEF-BBEB-D7ECB3F11156}"/>
                </c:ext>
              </c:extLst>
            </c:dLbl>
            <c:dLbl>
              <c:idx val="8"/>
              <c:tx>
                <c:rich>
                  <a:bodyPr/>
                  <a:lstStyle/>
                  <a:p>
                    <a:fld id="{D57929F3-EFC7-4157-BDCA-6EF6E9D422DA}" type="CELLRANGE">
                      <a:rPr lang="en-GB"/>
                      <a:pPr/>
                      <a:t>[CELLRANGE]</a:t>
                    </a:fld>
                    <a:endParaRPr lang="en-GB"/>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53D4-4DEF-BBEB-D7ECB3F11156}"/>
                </c:ext>
              </c:extLst>
            </c:dLbl>
            <c:dLbl>
              <c:idx val="9"/>
              <c:tx>
                <c:rich>
                  <a:bodyPr/>
                  <a:lstStyle/>
                  <a:p>
                    <a:fld id="{AC51165E-9E3F-458C-BD63-53A8ACE5391E}" type="CELLRANGE">
                      <a:rPr lang="en-GB"/>
                      <a:pPr/>
                      <a:t>[CELLRANGE]</a:t>
                    </a:fld>
                    <a:endParaRPr lang="en-GB"/>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53D4-4DEF-BBEB-D7ECB3F11156}"/>
                </c:ext>
              </c:extLst>
            </c:dLbl>
            <c:dLbl>
              <c:idx val="10"/>
              <c:tx>
                <c:rich>
                  <a:bodyPr/>
                  <a:lstStyle/>
                  <a:p>
                    <a:fld id="{7B8C16D6-600E-4F0D-B4A4-EB64423B6B59}" type="CELLRANGE">
                      <a:rPr lang="en-GB"/>
                      <a:pPr/>
                      <a:t>[CELLRANGE]</a:t>
                    </a:fld>
                    <a:endParaRPr lang="en-GB"/>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53D4-4DEF-BBEB-D7ECB3F11156}"/>
                </c:ext>
              </c:extLst>
            </c:dLbl>
            <c:dLbl>
              <c:idx val="11"/>
              <c:tx>
                <c:rich>
                  <a:bodyPr/>
                  <a:lstStyle/>
                  <a:p>
                    <a:fld id="{3BACAA6E-F434-46C3-940E-DADF33F79B18}" type="CELLRANGE">
                      <a:rPr lang="en-GB"/>
                      <a:pPr/>
                      <a:t>[CELLRANGE]</a:t>
                    </a:fld>
                    <a:endParaRPr lang="en-GB"/>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53D4-4DEF-BBEB-D7ECB3F11156}"/>
                </c:ext>
              </c:extLst>
            </c:dLbl>
            <c:dLbl>
              <c:idx val="12"/>
              <c:tx>
                <c:rich>
                  <a:bodyPr/>
                  <a:lstStyle/>
                  <a:p>
                    <a:fld id="{04826A16-6EB0-4E56-9CE9-848D7986DDB5}" type="CELLRANGE">
                      <a:rPr lang="en-GB"/>
                      <a:pPr/>
                      <a:t>[CELLRANGE]</a:t>
                    </a:fld>
                    <a:endParaRPr lang="en-GB"/>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53D4-4DEF-BBEB-D7ECB3F11156}"/>
                </c:ext>
              </c:extLst>
            </c:dLbl>
            <c:dLbl>
              <c:idx val="13"/>
              <c:tx>
                <c:rich>
                  <a:bodyPr/>
                  <a:lstStyle/>
                  <a:p>
                    <a:fld id="{7DBA08C7-2763-4555-A354-D59DD2C6C5BC}" type="CELLRANGE">
                      <a:rPr lang="en-GB"/>
                      <a:pPr/>
                      <a:t>[CELLRANGE]</a:t>
                    </a:fld>
                    <a:endParaRPr lang="en-GB"/>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53D4-4DEF-BBEB-D7ECB3F11156}"/>
                </c:ext>
              </c:extLst>
            </c:dLbl>
            <c:dLbl>
              <c:idx val="14"/>
              <c:tx>
                <c:rich>
                  <a:bodyPr/>
                  <a:lstStyle/>
                  <a:p>
                    <a:fld id="{607937A4-D005-4233-8EB6-DB28CEBEB1BD}" type="CELLRANGE">
                      <a:rPr lang="en-GB"/>
                      <a:pPr/>
                      <a:t>[CELLRANGE]</a:t>
                    </a:fld>
                    <a:endParaRPr lang="en-GB"/>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53D4-4DEF-BBEB-D7ECB3F1115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RAW!$H$4:$H$18</c:f>
              <c:numCache>
                <c:formatCode>0.00</c:formatCode>
                <c:ptCount val="15"/>
                <c:pt idx="0">
                  <c:v>37.5</c:v>
                </c:pt>
                <c:pt idx="1">
                  <c:v>30</c:v>
                </c:pt>
                <c:pt idx="2">
                  <c:v>58.333333333333336</c:v>
                </c:pt>
                <c:pt idx="3">
                  <c:v>66.666666666666657</c:v>
                </c:pt>
                <c:pt idx="4">
                  <c:v>40</c:v>
                </c:pt>
                <c:pt idx="5">
                  <c:v>47.058823529411761</c:v>
                </c:pt>
                <c:pt idx="6">
                  <c:v>33.333333333333329</c:v>
                </c:pt>
                <c:pt idx="7">
                  <c:v>9.0909090909090917</c:v>
                </c:pt>
                <c:pt idx="8">
                  <c:v>28.571428571428569</c:v>
                </c:pt>
                <c:pt idx="9">
                  <c:v>33.333333333333329</c:v>
                </c:pt>
                <c:pt idx="10">
                  <c:v>25</c:v>
                </c:pt>
                <c:pt idx="11">
                  <c:v>16.666666666666664</c:v>
                </c:pt>
                <c:pt idx="12">
                  <c:v>25</c:v>
                </c:pt>
                <c:pt idx="13">
                  <c:v>0</c:v>
                </c:pt>
                <c:pt idx="14">
                  <c:v>22.222222222222221</c:v>
                </c:pt>
              </c:numCache>
            </c:numRef>
          </c:xVal>
          <c:yVal>
            <c:numRef>
              <c:f>RAW!$I$4:$I$18</c:f>
              <c:numCache>
                <c:formatCode>"₹"\ #,##0</c:formatCode>
                <c:ptCount val="15"/>
                <c:pt idx="0">
                  <c:v>500</c:v>
                </c:pt>
                <c:pt idx="1">
                  <c:v>700</c:v>
                </c:pt>
                <c:pt idx="2">
                  <c:v>50</c:v>
                </c:pt>
                <c:pt idx="3">
                  <c:v>20</c:v>
                </c:pt>
                <c:pt idx="4">
                  <c:v>3000</c:v>
                </c:pt>
                <c:pt idx="5">
                  <c:v>450</c:v>
                </c:pt>
                <c:pt idx="6">
                  <c:v>100</c:v>
                </c:pt>
                <c:pt idx="7">
                  <c:v>600</c:v>
                </c:pt>
                <c:pt idx="8">
                  <c:v>5000</c:v>
                </c:pt>
                <c:pt idx="9">
                  <c:v>10000</c:v>
                </c:pt>
                <c:pt idx="10">
                  <c:v>150</c:v>
                </c:pt>
                <c:pt idx="11">
                  <c:v>750</c:v>
                </c:pt>
                <c:pt idx="12">
                  <c:v>15000</c:v>
                </c:pt>
                <c:pt idx="13">
                  <c:v>50</c:v>
                </c:pt>
                <c:pt idx="14">
                  <c:v>7000</c:v>
                </c:pt>
              </c:numCache>
            </c:numRef>
          </c:yVal>
          <c:smooth val="0"/>
          <c:extLst>
            <c:ext xmlns:c15="http://schemas.microsoft.com/office/drawing/2012/chart" uri="{02D57815-91ED-43cb-92C2-25804820EDAC}">
              <c15:datalabelsRange>
                <c15:f>Sheet1!$C$7:$C$21</c15:f>
                <c15:dlblRangeCache>
                  <c:ptCount val="15"/>
                  <c:pt idx="0">
                    <c:v>wireless mouse</c:v>
                  </c:pt>
                  <c:pt idx="1">
                    <c:v>keyboard</c:v>
                  </c:pt>
                  <c:pt idx="2">
                    <c:v>notebook</c:v>
                  </c:pt>
                  <c:pt idx="3">
                    <c:v>pen pack</c:v>
                  </c:pt>
                  <c:pt idx="4">
                    <c:v>office chair</c:v>
                  </c:pt>
                  <c:pt idx="5">
                    <c:v>webcam</c:v>
                  </c:pt>
                  <c:pt idx="6">
                    <c:v>flash drive</c:v>
                  </c:pt>
                  <c:pt idx="7">
                    <c:v>hard disk</c:v>
                  </c:pt>
                  <c:pt idx="8">
                    <c:v>monitor</c:v>
                  </c:pt>
                  <c:pt idx="9">
                    <c:v>smartphones</c:v>
                  </c:pt>
                  <c:pt idx="10">
                    <c:v>cables</c:v>
                  </c:pt>
                  <c:pt idx="11">
                    <c:v>motherboard</c:v>
                  </c:pt>
                  <c:pt idx="12">
                    <c:v>cpu</c:v>
                  </c:pt>
                  <c:pt idx="13">
                    <c:v>screen protector</c:v>
                  </c:pt>
                  <c:pt idx="14">
                    <c:v>gaming desk</c:v>
                  </c:pt>
                </c15:dlblRangeCache>
              </c15:datalabelsRange>
            </c:ext>
            <c:ext xmlns:c16="http://schemas.microsoft.com/office/drawing/2014/chart" uri="{C3380CC4-5D6E-409C-BE32-E72D297353CC}">
              <c16:uniqueId val="{0000000F-53D4-4DEF-BBEB-D7ECB3F11156}"/>
            </c:ext>
          </c:extLst>
        </c:ser>
        <c:dLbls>
          <c:dLblPos val="t"/>
          <c:showLegendKey val="0"/>
          <c:showVal val="1"/>
          <c:showCatName val="0"/>
          <c:showSerName val="0"/>
          <c:showPercent val="0"/>
          <c:showBubbleSize val="0"/>
        </c:dLbls>
        <c:axId val="611967504"/>
        <c:axId val="611968336"/>
      </c:scatterChart>
      <c:valAx>
        <c:axId val="611967504"/>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r>
                  <a:rPr lang="en-IN" sz="1100" b="1" i="0" baseline="0">
                    <a:solidFill>
                      <a:schemeClr val="tx1"/>
                    </a:solidFill>
                    <a:effectLst/>
                  </a:rPr>
                  <a:t>Profit margin%</a:t>
                </a:r>
                <a:endParaRPr lang="en-IN" sz="1100" b="1">
                  <a:solidFill>
                    <a:schemeClr val="tx1"/>
                  </a:solidFill>
                  <a:effectLst/>
                </a:endParaRP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title>
        <c:numFmt formatCode="0.00"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968336"/>
        <c:crosses val="autoZero"/>
        <c:crossBetween val="midCat"/>
      </c:valAx>
      <c:valAx>
        <c:axId val="611968336"/>
        <c:scaling>
          <c:orientation val="minMax"/>
        </c:scaling>
        <c:delete val="0"/>
        <c:axPos val="l"/>
        <c:title>
          <c:tx>
            <c:rich>
              <a:bodyPr rot="-5400000" spcFirstLastPara="1" vertOverflow="ellipsis" vert="horz" wrap="square" anchor="ctr" anchorCtr="1"/>
              <a:lstStyle/>
              <a:p>
                <a:pPr>
                  <a:defRPr sz="1100" b="0" i="0" u="none" strike="noStrike" kern="1200" baseline="0">
                    <a:solidFill>
                      <a:schemeClr val="tx1">
                        <a:lumMod val="85000"/>
                        <a:lumOff val="15000"/>
                      </a:schemeClr>
                    </a:solidFill>
                    <a:latin typeface="+mn-lt"/>
                    <a:ea typeface="+mn-ea"/>
                    <a:cs typeface="+mn-cs"/>
                  </a:defRPr>
                </a:pPr>
                <a:r>
                  <a:rPr lang="en-IN" sz="1100" b="1">
                    <a:solidFill>
                      <a:schemeClr val="tx1">
                        <a:lumMod val="85000"/>
                        <a:lumOff val="15000"/>
                      </a:schemeClr>
                    </a:solidFill>
                  </a:rPr>
                  <a:t>Cost per unit</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85000"/>
                      <a:lumOff val="15000"/>
                    </a:schemeClr>
                  </a:solidFill>
                  <a:latin typeface="+mn-lt"/>
                  <a:ea typeface="+mn-ea"/>
                  <a:cs typeface="+mn-cs"/>
                </a:defRPr>
              </a:pPr>
              <a:endParaRPr lang="en-US"/>
            </a:p>
          </c:txPr>
        </c:title>
        <c:numFmt formatCode="&quot;₹&quot;\ #,##0;[Red]&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96750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orientation="portrait"/>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3.xlsx]Dead_stock!PivotTable2</c:name>
    <c:fmtId val="2"/>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IN">
                <a:solidFill>
                  <a:schemeClr val="tx1"/>
                </a:solidFill>
              </a:rPr>
              <a:t>Dead Stock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117D1B"/>
          </a:solidFill>
          <a:ln>
            <a:noFill/>
          </a:ln>
          <a:effectLst>
            <a:outerShdw blurRad="254000" sx="102000" sy="102000" algn="ctr" rotWithShape="0">
              <a:prstClr val="black">
                <a:alpha val="20000"/>
              </a:prstClr>
            </a:outerShdw>
          </a:effectLst>
        </c:spPr>
      </c:pivotFmt>
      <c:pivotFmt>
        <c:idx val="2"/>
        <c:spPr>
          <a:solidFill>
            <a:srgbClr val="FF0000"/>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rgbClr val="2EC327"/>
          </a:solidFill>
          <a:ln>
            <a:noFill/>
          </a:ln>
          <a:effectLst>
            <a:outerShdw blurRad="254000" sx="102000" sy="102000" algn="ctr" rotWithShape="0">
              <a:prstClr val="black">
                <a:alpha val="20000"/>
              </a:prstClr>
            </a:outerShdw>
          </a:effectLst>
        </c:spPr>
      </c:pivotFmt>
      <c:pivotFmt>
        <c:idx val="5"/>
        <c:spPr>
          <a:solidFill>
            <a:srgbClr val="FF0000"/>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Dead_stock!$B$7</c:f>
              <c:strCache>
                <c:ptCount val="1"/>
                <c:pt idx="0">
                  <c:v>Total</c:v>
                </c:pt>
              </c:strCache>
            </c:strRef>
          </c:tx>
          <c:dPt>
            <c:idx val="0"/>
            <c:bubble3D val="0"/>
            <c:explosion val="1"/>
            <c:spPr>
              <a:solidFill>
                <a:srgbClr val="2EC327"/>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E22-4D09-A912-1250B0487BF8}"/>
              </c:ext>
            </c:extLst>
          </c:dPt>
          <c:dPt>
            <c:idx val="1"/>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E22-4D09-A912-1250B0487BF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Dead_stock!$A$8:$A$10</c:f>
              <c:strCache>
                <c:ptCount val="2"/>
                <c:pt idx="0">
                  <c:v>Active</c:v>
                </c:pt>
                <c:pt idx="1">
                  <c:v>dead</c:v>
                </c:pt>
              </c:strCache>
            </c:strRef>
          </c:cat>
          <c:val>
            <c:numRef>
              <c:f>Dead_stock!$B$8:$B$10</c:f>
              <c:numCache>
                <c:formatCode>General</c:formatCode>
                <c:ptCount val="2"/>
                <c:pt idx="0">
                  <c:v>14</c:v>
                </c:pt>
                <c:pt idx="1">
                  <c:v>1</c:v>
                </c:pt>
              </c:numCache>
            </c:numRef>
          </c:val>
          <c:extLst>
            <c:ext xmlns:c16="http://schemas.microsoft.com/office/drawing/2014/chart" uri="{C3380CC4-5D6E-409C-BE32-E72D297353CC}">
              <c16:uniqueId val="{00000004-9E22-4D09-A912-1250B0487BF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dk1">
          <a:lumMod val="25000"/>
          <a:lumOff val="7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3.xlsx]RAW!PivotTable4</c:name>
    <c:fmtId val="9"/>
  </c:pivotSource>
  <c:chart>
    <c:title>
      <c:tx>
        <c:rich>
          <a:bodyPr rot="0" spcFirstLastPara="1" vertOverflow="ellipsis" vert="horz" wrap="square" anchor="ctr" anchorCtr="1"/>
          <a:lstStyle/>
          <a:p>
            <a:pPr>
              <a:defRPr sz="1400" b="0" i="0" u="none" strike="noStrike" kern="1200" cap="none" spc="20" baseline="0">
                <a:solidFill>
                  <a:schemeClr val="tx1"/>
                </a:solidFill>
                <a:latin typeface="+mn-lt"/>
                <a:ea typeface="+mn-ea"/>
                <a:cs typeface="+mn-cs"/>
              </a:defRPr>
            </a:pPr>
            <a:r>
              <a:rPr lang="en-US" sz="1800" b="1" i="0" baseline="0">
                <a:solidFill>
                  <a:schemeClr val="tx1"/>
                </a:solidFill>
                <a:effectLst/>
              </a:rPr>
              <a:t>Supplier contribution</a:t>
            </a:r>
            <a:endParaRPr lang="en-IN" b="1">
              <a:solidFill>
                <a:schemeClr val="tx1"/>
              </a:solidFill>
              <a:effectLst/>
            </a:endParaRPr>
          </a:p>
        </c:rich>
      </c:tx>
      <c:layout>
        <c:manualLayout>
          <c:xMode val="edge"/>
          <c:yMode val="edge"/>
          <c:x val="0.25438495332235034"/>
          <c:y val="0.10623993558776168"/>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solidFill>
              <a:latin typeface="+mn-lt"/>
              <a:ea typeface="+mn-ea"/>
              <a:cs typeface="+mn-cs"/>
            </a:defRPr>
          </a:pPr>
          <a:endParaRPr lang="en-US"/>
        </a:p>
      </c:txPr>
    </c:title>
    <c:autoTitleDeleted val="0"/>
    <c:pivotFmts>
      <c:pivotFmt>
        <c:idx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33CC"/>
          </a:soli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85444538245736"/>
          <c:y val="0.3157338969404187"/>
          <c:w val="0.59699009986765417"/>
          <c:h val="0.40836916264090178"/>
        </c:manualLayout>
      </c:layout>
      <c:barChart>
        <c:barDir val="col"/>
        <c:grouping val="clustered"/>
        <c:varyColors val="0"/>
        <c:ser>
          <c:idx val="0"/>
          <c:order val="0"/>
          <c:tx>
            <c:strRef>
              <c:f>RAW!$B$3</c:f>
              <c:strCache>
                <c:ptCount val="1"/>
                <c:pt idx="0">
                  <c:v>Total</c:v>
                </c:pt>
              </c:strCache>
            </c:strRef>
          </c:tx>
          <c:spPr>
            <a:solidFill>
              <a:srgbClr val="0033CC"/>
            </a:solidFill>
            <a:ln w="9525" cap="flat" cmpd="sng" algn="ctr">
              <a:no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RAW!$A$4:$A$10</c:f>
              <c:strCache>
                <c:ptCount val="6"/>
                <c:pt idx="0">
                  <c:v>supplier A</c:v>
                </c:pt>
                <c:pt idx="1">
                  <c:v>supplier B</c:v>
                </c:pt>
                <c:pt idx="2">
                  <c:v>supplier C</c:v>
                </c:pt>
                <c:pt idx="3">
                  <c:v>supplier D</c:v>
                </c:pt>
                <c:pt idx="4">
                  <c:v>supplier E</c:v>
                </c:pt>
                <c:pt idx="5">
                  <c:v>supplier F</c:v>
                </c:pt>
              </c:strCache>
            </c:strRef>
          </c:cat>
          <c:val>
            <c:numRef>
              <c:f>RAW!$B$4:$B$10</c:f>
              <c:numCache>
                <c:formatCode>General</c:formatCode>
                <c:ptCount val="6"/>
                <c:pt idx="0">
                  <c:v>42000</c:v>
                </c:pt>
                <c:pt idx="1">
                  <c:v>17000</c:v>
                </c:pt>
                <c:pt idx="2">
                  <c:v>66000</c:v>
                </c:pt>
                <c:pt idx="3">
                  <c:v>1270000</c:v>
                </c:pt>
                <c:pt idx="4">
                  <c:v>31000</c:v>
                </c:pt>
                <c:pt idx="5">
                  <c:v>155000</c:v>
                </c:pt>
              </c:numCache>
            </c:numRef>
          </c:val>
          <c:extLst>
            <c:ext xmlns:c16="http://schemas.microsoft.com/office/drawing/2014/chart" uri="{C3380CC4-5D6E-409C-BE32-E72D297353CC}">
              <c16:uniqueId val="{00000000-4709-4519-886E-953BF11358DF}"/>
            </c:ext>
          </c:extLst>
        </c:ser>
        <c:dLbls>
          <c:dLblPos val="outEnd"/>
          <c:showLegendKey val="0"/>
          <c:showVal val="1"/>
          <c:showCatName val="0"/>
          <c:showSerName val="0"/>
          <c:showPercent val="0"/>
          <c:showBubbleSize val="0"/>
        </c:dLbls>
        <c:gapWidth val="100"/>
        <c:overlap val="-24"/>
        <c:axId val="1355761568"/>
        <c:axId val="1355768224"/>
      </c:barChart>
      <c:catAx>
        <c:axId val="1355761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355768224"/>
        <c:crosses val="autoZero"/>
        <c:auto val="1"/>
        <c:lblAlgn val="ctr"/>
        <c:lblOffset val="100"/>
        <c:noMultiLvlLbl val="0"/>
      </c:catAx>
      <c:valAx>
        <c:axId val="1355768224"/>
        <c:scaling>
          <c:logBase val="100"/>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355761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962811</xdr:colOff>
      <xdr:row>2</xdr:row>
      <xdr:rowOff>0</xdr:rowOff>
    </xdr:from>
    <xdr:to>
      <xdr:col>7</xdr:col>
      <xdr:colOff>89648</xdr:colOff>
      <xdr:row>3</xdr:row>
      <xdr:rowOff>134470</xdr:rowOff>
    </xdr:to>
    <xdr:sp macro="" textlink="">
      <xdr:nvSpPr>
        <xdr:cNvPr id="4" name="Arrow: Notched Right 3">
          <a:hlinkClick xmlns:r="http://schemas.openxmlformats.org/officeDocument/2006/relationships" r:id="rId1"/>
          <a:extLst>
            <a:ext uri="{FF2B5EF4-FFF2-40B4-BE49-F238E27FC236}">
              <a16:creationId xmlns:a16="http://schemas.microsoft.com/office/drawing/2014/main" id="{BCB5F880-6932-4C34-9E3D-ADDAB39BC361}"/>
            </a:ext>
          </a:extLst>
        </xdr:cNvPr>
        <xdr:cNvSpPr/>
      </xdr:nvSpPr>
      <xdr:spPr>
        <a:xfrm>
          <a:off x="4492664" y="392206"/>
          <a:ext cx="1704190" cy="537882"/>
        </a:xfrm>
        <a:prstGeom prst="notchedRightArrow">
          <a:avLst>
            <a:gd name="adj1" fmla="val 54166"/>
            <a:gd name="adj2" fmla="val 5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cap="none" spc="0">
              <a:ln w="0"/>
              <a:solidFill>
                <a:schemeClr val="tx1"/>
              </a:solidFill>
              <a:effectLst>
                <a:outerShdw blurRad="38100" dist="19050" dir="2700000" algn="tl" rotWithShape="0">
                  <a:schemeClr val="dk1">
                    <a:alpha val="40000"/>
                  </a:schemeClr>
                </a:outerShdw>
              </a:effectLst>
            </a:rPr>
            <a:t>DASHBOARD</a:t>
          </a:r>
          <a:endParaRPr lang="en-IN" sz="1600" b="1" cap="none" spc="0">
            <a:ln w="0">
              <a:solidFill>
                <a:schemeClr val="tx1"/>
              </a:solidFill>
            </a:ln>
            <a:solidFill>
              <a:schemeClr val="accent1"/>
            </a:solidFill>
            <a:effectLst>
              <a:outerShdw blurRad="38100" dist="19050" dir="2700000" algn="tl" rotWithShape="0">
                <a:schemeClr val="dk1">
                  <a:alpha val="40000"/>
                </a:schemeClr>
              </a:outerShdw>
            </a:effectLs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200106</xdr:colOff>
      <xdr:row>23</xdr:row>
      <xdr:rowOff>172615</xdr:rowOff>
    </xdr:from>
    <xdr:to>
      <xdr:col>13</xdr:col>
      <xdr:colOff>267447</xdr:colOff>
      <xdr:row>36</xdr:row>
      <xdr:rowOff>180115</xdr:rowOff>
    </xdr:to>
    <xdr:graphicFrame macro="">
      <xdr:nvGraphicFramePr>
        <xdr:cNvPr id="2" name="Chart 3">
          <a:extLst>
            <a:ext uri="{FF2B5EF4-FFF2-40B4-BE49-F238E27FC236}">
              <a16:creationId xmlns:a16="http://schemas.microsoft.com/office/drawing/2014/main" id="{744613A1-8AA5-4A41-9CAE-F8E8D90607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1510224</xdr:colOff>
      <xdr:row>6</xdr:row>
      <xdr:rowOff>11441</xdr:rowOff>
    </xdr:from>
    <xdr:to>
      <xdr:col>11</xdr:col>
      <xdr:colOff>598716</xdr:colOff>
      <xdr:row>22</xdr:row>
      <xdr:rowOff>68034</xdr:rowOff>
    </xdr:to>
    <xdr:graphicFrame macro="">
      <xdr:nvGraphicFramePr>
        <xdr:cNvPr id="5" name="Chart 1">
          <a:extLst>
            <a:ext uri="{FF2B5EF4-FFF2-40B4-BE49-F238E27FC236}">
              <a16:creationId xmlns:a16="http://schemas.microsoft.com/office/drawing/2014/main" id="{0F13BC1E-A07A-4DCB-9915-47695E55E7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313289</xdr:colOff>
      <xdr:row>6</xdr:row>
      <xdr:rowOff>1</xdr:rowOff>
    </xdr:from>
    <xdr:to>
      <xdr:col>6</xdr:col>
      <xdr:colOff>1279072</xdr:colOff>
      <xdr:row>22</xdr:row>
      <xdr:rowOff>73450</xdr:rowOff>
    </xdr:to>
    <xdr:graphicFrame macro="">
      <xdr:nvGraphicFramePr>
        <xdr:cNvPr id="3" name="Chart 2">
          <a:extLst>
            <a:ext uri="{FF2B5EF4-FFF2-40B4-BE49-F238E27FC236}">
              <a16:creationId xmlns:a16="http://schemas.microsoft.com/office/drawing/2014/main" id="{E9E3ABE8-FE03-46BD-AAEE-22BCA11CD5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90440</xdr:colOff>
      <xdr:row>23</xdr:row>
      <xdr:rowOff>161896</xdr:rowOff>
    </xdr:from>
    <xdr:to>
      <xdr:col>9</xdr:col>
      <xdr:colOff>48479</xdr:colOff>
      <xdr:row>36</xdr:row>
      <xdr:rowOff>169947</xdr:rowOff>
    </xdr:to>
    <xdr:graphicFrame macro="">
      <xdr:nvGraphicFramePr>
        <xdr:cNvPr id="7" name="Chart 2">
          <a:extLst>
            <a:ext uri="{FF2B5EF4-FFF2-40B4-BE49-F238E27FC236}">
              <a16:creationId xmlns:a16="http://schemas.microsoft.com/office/drawing/2014/main" id="{AFAA9E49-9947-44B7-AC7E-563289BD38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195812</xdr:colOff>
      <xdr:row>6</xdr:row>
      <xdr:rowOff>13608</xdr:rowOff>
    </xdr:from>
    <xdr:to>
      <xdr:col>13</xdr:col>
      <xdr:colOff>407654</xdr:colOff>
      <xdr:row>18</xdr:row>
      <xdr:rowOff>87982</xdr:rowOff>
    </xdr:to>
    <mc:AlternateContent xmlns:mc="http://schemas.openxmlformats.org/markup-compatibility/2006" xmlns:a14="http://schemas.microsoft.com/office/drawing/2010/main">
      <mc:Choice Requires="a14">
        <xdr:graphicFrame macro="">
          <xdr:nvGraphicFramePr>
            <xdr:cNvPr id="8" name="Supplier">
              <a:extLst>
                <a:ext uri="{FF2B5EF4-FFF2-40B4-BE49-F238E27FC236}">
                  <a16:creationId xmlns:a16="http://schemas.microsoft.com/office/drawing/2014/main" id="{CFAAF5DF-EE18-493D-81A2-C0C3E905E933}"/>
                </a:ext>
              </a:extLst>
            </xdr:cNvPr>
            <xdr:cNvGraphicFramePr/>
          </xdr:nvGraphicFramePr>
          <xdr:xfrm>
            <a:off x="0" y="0"/>
            <a:ext cx="0" cy="0"/>
          </xdr:xfrm>
          <a:graphic>
            <a:graphicData uri="http://schemas.microsoft.com/office/drawing/2010/slicer">
              <sle:slicer xmlns:sle="http://schemas.microsoft.com/office/drawing/2010/slicer" name="Supplier"/>
            </a:graphicData>
          </a:graphic>
        </xdr:graphicFrame>
      </mc:Choice>
      <mc:Fallback xmlns="">
        <xdr:sp macro="" textlink="">
          <xdr:nvSpPr>
            <xdr:cNvPr id="0" name=""/>
            <xdr:cNvSpPr>
              <a:spLocks noTextEdit="1"/>
            </xdr:cNvSpPr>
          </xdr:nvSpPr>
          <xdr:spPr>
            <a:xfrm>
              <a:off x="12034026" y="1510394"/>
              <a:ext cx="1817485" cy="255087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311498</xdr:colOff>
      <xdr:row>23</xdr:row>
      <xdr:rowOff>149383</xdr:rowOff>
    </xdr:from>
    <xdr:to>
      <xdr:col>4</xdr:col>
      <xdr:colOff>1415142</xdr:colOff>
      <xdr:row>36</xdr:row>
      <xdr:rowOff>156883</xdr:rowOff>
    </xdr:to>
    <xdr:graphicFrame macro="">
      <xdr:nvGraphicFramePr>
        <xdr:cNvPr id="6" name="Chart 1">
          <a:extLst>
            <a:ext uri="{FF2B5EF4-FFF2-40B4-BE49-F238E27FC236}">
              <a16:creationId xmlns:a16="http://schemas.microsoft.com/office/drawing/2014/main" id="{C8D9F147-D002-476D-B713-F74CD8501B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0.78288</cdr:x>
      <cdr:y>0.12439</cdr:y>
    </cdr:from>
    <cdr:to>
      <cdr:x>0.9807</cdr:x>
      <cdr:y>0.37387</cdr:y>
    </cdr:to>
    <cdr:sp macro="" textlink="">
      <cdr:nvSpPr>
        <cdr:cNvPr id="2" name="Rectangle 1">
          <a:extLst xmlns:a="http://schemas.openxmlformats.org/drawingml/2006/main">
            <a:ext uri="{FF2B5EF4-FFF2-40B4-BE49-F238E27FC236}">
              <a16:creationId xmlns:a16="http://schemas.microsoft.com/office/drawing/2014/main" id="{7A9AA17F-F57C-4057-8911-50AAE543F502}"/>
            </a:ext>
          </a:extLst>
        </cdr:cNvPr>
        <cdr:cNvSpPr/>
      </cdr:nvSpPr>
      <cdr:spPr>
        <a:xfrm xmlns:a="http://schemas.openxmlformats.org/drawingml/2006/main">
          <a:off x="4931974" y="411972"/>
          <a:ext cx="1246223" cy="826277"/>
        </a:xfrm>
        <a:prstGeom xmlns:a="http://schemas.openxmlformats.org/drawingml/2006/main" prst="rect">
          <a:avLst/>
        </a:prstGeom>
        <a:solidFill xmlns:a="http://schemas.openxmlformats.org/drawingml/2006/main">
          <a:schemeClr val="bg1"/>
        </a:solidFill>
        <a:ln xmlns:a="http://schemas.openxmlformats.org/drawingml/2006/main">
          <a:solidFill>
            <a:schemeClr val="bg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sz="900">
              <a:solidFill>
                <a:schemeClr val="tx1"/>
              </a:solidFill>
            </a:rPr>
            <a:t>     </a:t>
          </a:r>
          <a:r>
            <a:rPr lang="en-US" sz="900" baseline="0">
              <a:solidFill>
                <a:schemeClr val="tx1"/>
              </a:solidFill>
            </a:rPr>
            <a:t>  Low margin</a:t>
          </a:r>
        </a:p>
        <a:p xmlns:a="http://schemas.openxmlformats.org/drawingml/2006/main">
          <a:endParaRPr lang="en-US" sz="900" baseline="0">
            <a:solidFill>
              <a:schemeClr val="tx1"/>
            </a:solidFill>
          </a:endParaRPr>
        </a:p>
        <a:p xmlns:a="http://schemas.openxmlformats.org/drawingml/2006/main">
          <a:r>
            <a:rPr lang="en-US" sz="900" baseline="0">
              <a:solidFill>
                <a:schemeClr val="tx1"/>
              </a:solidFill>
            </a:rPr>
            <a:t>       Medium margin</a:t>
          </a:r>
        </a:p>
        <a:p xmlns:a="http://schemas.openxmlformats.org/drawingml/2006/main">
          <a:endParaRPr lang="en-US" sz="900" baseline="0">
            <a:solidFill>
              <a:schemeClr val="tx1"/>
            </a:solidFill>
          </a:endParaRPr>
        </a:p>
        <a:p xmlns:a="http://schemas.openxmlformats.org/drawingml/2006/main">
          <a:r>
            <a:rPr lang="en-US" sz="900" baseline="0">
              <a:solidFill>
                <a:schemeClr val="tx1"/>
              </a:solidFill>
            </a:rPr>
            <a:t>       High Margin</a:t>
          </a:r>
        </a:p>
      </cdr:txBody>
    </cdr:sp>
  </cdr:relSizeAnchor>
  <cdr:relSizeAnchor xmlns:cdr="http://schemas.openxmlformats.org/drawingml/2006/chartDrawing">
    <cdr:from>
      <cdr:x>0.79809</cdr:x>
      <cdr:y>0.13533</cdr:y>
    </cdr:from>
    <cdr:to>
      <cdr:x>0.81534</cdr:x>
      <cdr:y>0.16815</cdr:y>
    </cdr:to>
    <cdr:sp macro="" textlink="">
      <cdr:nvSpPr>
        <cdr:cNvPr id="3" name="Oval 2">
          <a:extLst xmlns:a="http://schemas.openxmlformats.org/drawingml/2006/main">
            <a:ext uri="{FF2B5EF4-FFF2-40B4-BE49-F238E27FC236}">
              <a16:creationId xmlns:a16="http://schemas.microsoft.com/office/drawing/2014/main" id="{DE56152C-AD57-464B-BB0D-14568634564F}"/>
            </a:ext>
          </a:extLst>
        </cdr:cNvPr>
        <cdr:cNvSpPr/>
      </cdr:nvSpPr>
      <cdr:spPr>
        <a:xfrm xmlns:a="http://schemas.openxmlformats.org/drawingml/2006/main">
          <a:off x="6219741" y="554501"/>
          <a:ext cx="134470" cy="134471"/>
        </a:xfrm>
        <a:prstGeom xmlns:a="http://schemas.openxmlformats.org/drawingml/2006/main" prst="ellipse">
          <a:avLst/>
        </a:prstGeom>
        <a:solidFill xmlns:a="http://schemas.openxmlformats.org/drawingml/2006/main">
          <a:srgbClr val="FF0000"/>
        </a:solidFill>
        <a:ln xmlns:a="http://schemas.openxmlformats.org/drawingml/2006/main">
          <a:solidFill>
            <a:srgbClr val="FF0000"/>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0.79916</cdr:x>
      <cdr:y>0.22602</cdr:y>
    </cdr:from>
    <cdr:to>
      <cdr:x>0.81641</cdr:x>
      <cdr:y>0.25884</cdr:y>
    </cdr:to>
    <cdr:sp macro="" textlink="">
      <cdr:nvSpPr>
        <cdr:cNvPr id="4" name="Oval 3">
          <a:extLst xmlns:a="http://schemas.openxmlformats.org/drawingml/2006/main">
            <a:ext uri="{FF2B5EF4-FFF2-40B4-BE49-F238E27FC236}">
              <a16:creationId xmlns:a16="http://schemas.microsoft.com/office/drawing/2014/main" id="{D89D27FC-4472-42A0-96E4-75C88CF70E8E}"/>
            </a:ext>
          </a:extLst>
        </cdr:cNvPr>
        <cdr:cNvSpPr/>
      </cdr:nvSpPr>
      <cdr:spPr>
        <a:xfrm xmlns:a="http://schemas.openxmlformats.org/drawingml/2006/main">
          <a:off x="5034505" y="748553"/>
          <a:ext cx="108671" cy="108698"/>
        </a:xfrm>
        <a:prstGeom xmlns:a="http://schemas.openxmlformats.org/drawingml/2006/main" prst="ellipse">
          <a:avLst/>
        </a:prstGeom>
        <a:solidFill xmlns:a="http://schemas.openxmlformats.org/drawingml/2006/main">
          <a:schemeClr val="accent1"/>
        </a:solidFill>
        <a:ln xmlns:a="http://schemas.openxmlformats.org/drawingml/2006/main">
          <a:solidFill>
            <a:schemeClr val="accent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0.79952</cdr:x>
      <cdr:y>0.3118</cdr:y>
    </cdr:from>
    <cdr:to>
      <cdr:x>0.81678</cdr:x>
      <cdr:y>0.34462</cdr:y>
    </cdr:to>
    <cdr:sp macro="" textlink="">
      <cdr:nvSpPr>
        <cdr:cNvPr id="5" name="Oval 4">
          <a:extLst xmlns:a="http://schemas.openxmlformats.org/drawingml/2006/main">
            <a:ext uri="{FF2B5EF4-FFF2-40B4-BE49-F238E27FC236}">
              <a16:creationId xmlns:a16="http://schemas.microsoft.com/office/drawing/2014/main" id="{D89D27FC-4472-42A0-96E4-75C88CF70E8E}"/>
            </a:ext>
          </a:extLst>
        </cdr:cNvPr>
        <cdr:cNvSpPr/>
      </cdr:nvSpPr>
      <cdr:spPr>
        <a:xfrm xmlns:a="http://schemas.openxmlformats.org/drawingml/2006/main">
          <a:off x="5036803" y="1032654"/>
          <a:ext cx="108734" cy="108698"/>
        </a:xfrm>
        <a:prstGeom xmlns:a="http://schemas.openxmlformats.org/drawingml/2006/main" prst="ellipse">
          <a:avLst/>
        </a:prstGeom>
        <a:solidFill xmlns:a="http://schemas.openxmlformats.org/drawingml/2006/main">
          <a:srgbClr val="00B050"/>
        </a:solidFill>
        <a:ln xmlns:a="http://schemas.openxmlformats.org/drawingml/2006/main">
          <a:solidFill>
            <a:srgbClr val="00B050"/>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ME ON ☠️" refreshedDate="46146.627354745367" createdVersion="7" refreshedVersion="7" minRefreshableVersion="3" recordCount="15" xr:uid="{D233A2DF-119E-4A6A-87EE-4322B4874CDC}">
  <cacheSource type="worksheet">
    <worksheetSource ref="C6:T21" sheet="Sheet1"/>
  </cacheSource>
  <cacheFields count="18">
    <cacheField name="Product name" numFmtId="0">
      <sharedItems/>
    </cacheField>
    <cacheField name="Category" numFmtId="0">
      <sharedItems/>
    </cacheField>
    <cacheField name="Supplier" numFmtId="0">
      <sharedItems/>
    </cacheField>
    <cacheField name="Cost" numFmtId="164">
      <sharedItems containsSemiMixedTypes="0" containsString="0" containsNumber="1" containsInteger="1" minValue="20" maxValue="15000"/>
    </cacheField>
    <cacheField name="Selling price" numFmtId="164">
      <sharedItems containsSemiMixedTypes="0" containsString="0" containsNumber="1" containsInteger="1" minValue="60" maxValue="20000"/>
    </cacheField>
    <cacheField name="Sales" numFmtId="0">
      <sharedItems containsSemiMixedTypes="0" containsString="0" containsNumber="1" containsInteger="1" minValue="0" maxValue="500"/>
    </cacheField>
    <cacheField name="Quantity" numFmtId="0">
      <sharedItems containsSemiMixedTypes="0" containsString="0" containsNumber="1" containsInteger="1" minValue="10" maxValue="1000"/>
    </cacheField>
    <cacheField name="Reorder" numFmtId="0">
      <sharedItems containsSemiMixedTypes="0" containsString="0" containsNumber="1" containsInteger="1" minValue="20" maxValue="1000"/>
    </cacheField>
    <cacheField name="Lead time" numFmtId="0">
      <sharedItems containsSemiMixedTypes="0" containsString="0" containsNumber="1" containsInteger="1" minValue="4" maxValue="15"/>
    </cacheField>
    <cacheField name="Hold %" numFmtId="165">
      <sharedItems containsSemiMixedTypes="0" containsString="0" containsNumber="1" containsInteger="1" minValue="8" maxValue="30"/>
    </cacheField>
    <cacheField name="Revenue " numFmtId="164">
      <sharedItems containsSemiMixedTypes="0" containsString="0" containsNumber="1" containsInteger="1" minValue="0" maxValue="3750000"/>
    </cacheField>
    <cacheField name="Profit per unit" numFmtId="164">
      <sharedItems containsSemiMixedTypes="0" containsString="0" containsNumber="1" containsInteger="1" minValue="40" maxValue="5000"/>
    </cacheField>
    <cacheField name="Total profit" numFmtId="164">
      <sharedItems containsSemiMixedTypes="0" containsString="0" containsNumber="1" containsInteger="1" minValue="0" maxValue="1250000"/>
    </cacheField>
    <cacheField name="Profit margins%" numFmtId="2">
      <sharedItems containsSemiMixedTypes="0" containsString="0" containsNumber="1" minValue="0" maxValue="66.666666666666657"/>
    </cacheField>
    <cacheField name="Inventory value" numFmtId="164">
      <sharedItems containsSemiMixedTypes="0" containsString="0" containsNumber="1" containsInteger="1" minValue="500" maxValue="5500000"/>
    </cacheField>
    <cacheField name="Months of stock " numFmtId="2">
      <sharedItems containsSemiMixedTypes="0" containsString="0" containsNumber="1" minValue="1.8" maxValue="10"/>
    </cacheField>
    <cacheField name="Stock status" numFmtId="2">
      <sharedItems/>
    </cacheField>
    <cacheField name="dead stock" numFmtId="164">
      <sharedItems count="2">
        <s v="Active"/>
        <s v="dead"/>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ME ON ☠️" refreshedDate="46146.627354976852" createdVersion="7" refreshedVersion="7" minRefreshableVersion="3" recordCount="15" xr:uid="{82278D7D-27CD-4E00-B65D-81DABAD96611}">
  <cacheSource type="worksheet">
    <worksheetSource name="Table2"/>
  </cacheSource>
  <cacheFields count="17">
    <cacheField name="Product ID" numFmtId="0">
      <sharedItems/>
    </cacheField>
    <cacheField name="Product name" numFmtId="0">
      <sharedItems count="15">
        <s v="wireless mouse"/>
        <s v="keyboard"/>
        <s v="notebook"/>
        <s v="pen pack"/>
        <s v="office chair"/>
        <s v="webcam"/>
        <s v="flash drive"/>
        <s v="hard disk"/>
        <s v="monitor"/>
        <s v="smartphones"/>
        <s v="cables"/>
        <s v="motherboard"/>
        <s v="cpu"/>
        <s v="screen protector"/>
        <s v="gaming desk"/>
      </sharedItems>
    </cacheField>
    <cacheField name="Category" numFmtId="0">
      <sharedItems count="3">
        <s v="electronics"/>
        <s v="stationary"/>
        <s v="furniture"/>
      </sharedItems>
    </cacheField>
    <cacheField name="Supplier" numFmtId="0">
      <sharedItems count="6">
        <s v="supplier A"/>
        <s v="supplier B"/>
        <s v="supplier C"/>
        <s v="supplier D"/>
        <s v="supplier E"/>
        <s v="supplier F"/>
      </sharedItems>
    </cacheField>
    <cacheField name="Cost" numFmtId="164">
      <sharedItems containsSemiMixedTypes="0" containsString="0" containsNumber="1" containsInteger="1" minValue="20" maxValue="15000"/>
    </cacheField>
    <cacheField name="Selling price" numFmtId="164">
      <sharedItems containsSemiMixedTypes="0" containsString="0" containsNumber="1" containsInteger="1" minValue="60" maxValue="20000"/>
    </cacheField>
    <cacheField name="Sales" numFmtId="0">
      <sharedItems containsSemiMixedTypes="0" containsString="0" containsNumber="1" containsInteger="1" minValue="0" maxValue="500"/>
    </cacheField>
    <cacheField name="Quantity" numFmtId="0">
      <sharedItems containsSemiMixedTypes="0" containsString="0" containsNumber="1" containsInteger="1" minValue="10" maxValue="1000"/>
    </cacheField>
    <cacheField name="Reorder" numFmtId="0">
      <sharedItems containsSemiMixedTypes="0" containsString="0" containsNumber="1" containsInteger="1" minValue="20" maxValue="1000"/>
    </cacheField>
    <cacheField name="Lead time" numFmtId="0">
      <sharedItems containsSemiMixedTypes="0" containsString="0" containsNumber="1" containsInteger="1" minValue="4" maxValue="15"/>
    </cacheField>
    <cacheField name="Hold %" numFmtId="165">
      <sharedItems containsSemiMixedTypes="0" containsString="0" containsNumber="1" containsInteger="1" minValue="8" maxValue="30"/>
    </cacheField>
    <cacheField name="Revenue " numFmtId="164">
      <sharedItems containsSemiMixedTypes="0" containsString="0" containsNumber="1" containsInteger="1" minValue="0" maxValue="3750000"/>
    </cacheField>
    <cacheField name="Profit per unit" numFmtId="164">
      <sharedItems containsSemiMixedTypes="0" containsString="0" containsNumber="1" containsInteger="1" minValue="40" maxValue="5000"/>
    </cacheField>
    <cacheField name="Total profit" numFmtId="164">
      <sharedItems containsSemiMixedTypes="0" containsString="0" containsNumber="1" containsInteger="1" minValue="0" maxValue="1250000"/>
    </cacheField>
    <cacheField name="Profit margins%" numFmtId="2">
      <sharedItems containsSemiMixedTypes="0" containsString="0" containsNumber="1" minValue="0" maxValue="66.666666666666657"/>
    </cacheField>
    <cacheField name="Inventory value" numFmtId="164">
      <sharedItems containsSemiMixedTypes="0" containsString="0" containsNumber="1" containsInteger="1" minValue="500" maxValue="5500000"/>
    </cacheField>
    <cacheField name="Months of stock " numFmtId="2">
      <sharedItems containsSemiMixedTypes="0" containsString="0" containsNumber="1" minValue="1.8" maxValue="10"/>
    </cacheField>
  </cacheFields>
  <extLst>
    <ext xmlns:x14="http://schemas.microsoft.com/office/spreadsheetml/2009/9/main" uri="{725AE2AE-9491-48be-B2B4-4EB974FC3084}">
      <x14:pivotCacheDefinition pivotCacheId="7861228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s v="wireless mouse"/>
    <s v="electronics"/>
    <s v="supplier A"/>
    <n v="500"/>
    <n v="800"/>
    <n v="50"/>
    <n v="200"/>
    <n v="100"/>
    <n v="7"/>
    <n v="15"/>
    <n v="40000"/>
    <n v="300"/>
    <n v="15000"/>
    <n v="37.5"/>
    <n v="100000"/>
    <n v="4"/>
    <s v="ok"/>
    <x v="0"/>
  </r>
  <r>
    <s v="keyboard"/>
    <s v="electronics"/>
    <s v="supplier B"/>
    <n v="700"/>
    <n v="1000"/>
    <n v="40"/>
    <n v="150"/>
    <n v="80"/>
    <n v="10"/>
    <n v="15"/>
    <n v="40000"/>
    <n v="300"/>
    <n v="12000"/>
    <n v="30"/>
    <n v="105000"/>
    <n v="3.75"/>
    <s v="ok"/>
    <x v="0"/>
  </r>
  <r>
    <s v="notebook"/>
    <s v="stationary"/>
    <s v="supplier C"/>
    <n v="50"/>
    <n v="120"/>
    <n v="200"/>
    <n v="500"/>
    <n v="200"/>
    <n v="5"/>
    <n v="10"/>
    <n v="24000"/>
    <n v="70"/>
    <n v="14000"/>
    <n v="58.333333333333336"/>
    <n v="25000"/>
    <n v="2.5"/>
    <s v="ok"/>
    <x v="0"/>
  </r>
  <r>
    <s v="pen pack"/>
    <s v="stationary"/>
    <s v="supplier C"/>
    <n v="20"/>
    <n v="60"/>
    <n v="300"/>
    <n v="1000"/>
    <n v="300"/>
    <n v="5"/>
    <n v="10"/>
    <n v="18000"/>
    <n v="40"/>
    <n v="12000"/>
    <n v="66.666666666666657"/>
    <n v="20000"/>
    <n v="3.3333333333333335"/>
    <s v="ok"/>
    <x v="0"/>
  </r>
  <r>
    <s v="office chair"/>
    <s v="furniture"/>
    <s v="supplier D"/>
    <n v="3000"/>
    <n v="5000"/>
    <n v="10"/>
    <n v="50"/>
    <n v="20"/>
    <n v="15"/>
    <n v="20"/>
    <n v="50000"/>
    <n v="2000"/>
    <n v="20000"/>
    <n v="40"/>
    <n v="150000"/>
    <n v="5"/>
    <s v="ok"/>
    <x v="0"/>
  </r>
  <r>
    <s v="webcam"/>
    <s v="electronics"/>
    <s v="supplier A"/>
    <n v="450"/>
    <n v="850"/>
    <n v="30"/>
    <n v="100"/>
    <n v="60"/>
    <n v="7"/>
    <n v="10"/>
    <n v="25500"/>
    <n v="400"/>
    <n v="12000"/>
    <n v="47.058823529411761"/>
    <n v="45000"/>
    <n v="3.3333333333333335"/>
    <s v="ok"/>
    <x v="0"/>
  </r>
  <r>
    <s v="flash drive"/>
    <s v="electronics"/>
    <s v="supplier B"/>
    <n v="100"/>
    <n v="150"/>
    <n v="100"/>
    <n v="250"/>
    <n v="250"/>
    <n v="10"/>
    <n v="16"/>
    <n v="15000"/>
    <n v="50"/>
    <n v="5000"/>
    <n v="33.333333333333329"/>
    <n v="25000"/>
    <n v="2.5"/>
    <s v="Restock"/>
    <x v="0"/>
  </r>
  <r>
    <s v="hard disk"/>
    <s v="electronics"/>
    <s v="supplier A"/>
    <n v="600"/>
    <n v="660"/>
    <n v="250"/>
    <n v="700"/>
    <n v="500"/>
    <n v="7"/>
    <n v="10"/>
    <n v="165000"/>
    <n v="60"/>
    <n v="15000"/>
    <n v="9.0909090909090917"/>
    <n v="420000"/>
    <n v="2.8"/>
    <s v="ok"/>
    <x v="0"/>
  </r>
  <r>
    <s v="monitor"/>
    <s v="electronics"/>
    <s v="supplier C"/>
    <n v="5000"/>
    <n v="7000"/>
    <n v="20"/>
    <n v="80"/>
    <n v="20"/>
    <n v="5"/>
    <n v="20"/>
    <n v="140000"/>
    <n v="2000"/>
    <n v="40000"/>
    <n v="28.571428571428569"/>
    <n v="400000"/>
    <n v="4"/>
    <s v="ok"/>
    <x v="0"/>
  </r>
  <r>
    <s v="smartphones"/>
    <s v="electronics"/>
    <s v="supplier D"/>
    <n v="10000"/>
    <n v="15000"/>
    <n v="250"/>
    <n v="550"/>
    <n v="250"/>
    <n v="15"/>
    <n v="30"/>
    <n v="3750000"/>
    <n v="5000"/>
    <n v="1250000"/>
    <n v="33.333333333333329"/>
    <n v="5500000"/>
    <n v="2.2000000000000002"/>
    <s v="ok"/>
    <x v="0"/>
  </r>
  <r>
    <s v="cables"/>
    <s v="electronics"/>
    <s v="supplier E"/>
    <n v="150"/>
    <n v="200"/>
    <n v="500"/>
    <n v="900"/>
    <n v="700"/>
    <n v="6"/>
    <n v="8"/>
    <n v="100000"/>
    <n v="50"/>
    <n v="25000"/>
    <n v="25"/>
    <n v="135000"/>
    <n v="1.8"/>
    <s v="ok"/>
    <x v="0"/>
  </r>
  <r>
    <s v="motherboard"/>
    <s v="electronics"/>
    <s v="supplier E"/>
    <n v="750"/>
    <n v="900"/>
    <n v="40"/>
    <n v="200"/>
    <n v="70"/>
    <n v="6"/>
    <n v="14"/>
    <n v="36000"/>
    <n v="150"/>
    <n v="6000"/>
    <n v="16.666666666666664"/>
    <n v="150000"/>
    <n v="5"/>
    <s v="ok"/>
    <x v="0"/>
  </r>
  <r>
    <s v="cpu"/>
    <s v="electronics"/>
    <s v="supplier F"/>
    <n v="15000"/>
    <n v="20000"/>
    <n v="25"/>
    <n v="140"/>
    <n v="250"/>
    <n v="4"/>
    <n v="24"/>
    <n v="500000"/>
    <n v="5000"/>
    <n v="125000"/>
    <n v="25"/>
    <n v="2100000"/>
    <n v="5.6"/>
    <s v="Restock"/>
    <x v="0"/>
  </r>
  <r>
    <s v="screen protector"/>
    <s v="electronics"/>
    <s v="supplier F"/>
    <n v="50"/>
    <n v="90"/>
    <n v="0"/>
    <n v="10"/>
    <n v="1000"/>
    <n v="4"/>
    <n v="10"/>
    <n v="0"/>
    <n v="40"/>
    <n v="0"/>
    <n v="0"/>
    <n v="500"/>
    <n v="10"/>
    <s v="dead"/>
    <x v="1"/>
  </r>
  <r>
    <s v="gaming desk"/>
    <s v="furniture"/>
    <s v="supplier F"/>
    <n v="7000"/>
    <n v="9000"/>
    <n v="15"/>
    <n v="60"/>
    <n v="35"/>
    <n v="4"/>
    <n v="30"/>
    <n v="135000"/>
    <n v="2000"/>
    <n v="30000"/>
    <n v="22.222222222222221"/>
    <n v="420000"/>
    <n v="4"/>
    <s v="ok"/>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s v="P01"/>
    <x v="0"/>
    <x v="0"/>
    <x v="0"/>
    <n v="500"/>
    <n v="800"/>
    <n v="50"/>
    <n v="200"/>
    <n v="100"/>
    <n v="7"/>
    <n v="15"/>
    <n v="40000"/>
    <n v="300"/>
    <n v="15000"/>
    <n v="37.5"/>
    <n v="100000"/>
    <n v="4"/>
  </r>
  <r>
    <s v="P02"/>
    <x v="1"/>
    <x v="0"/>
    <x v="1"/>
    <n v="700"/>
    <n v="1000"/>
    <n v="40"/>
    <n v="150"/>
    <n v="80"/>
    <n v="10"/>
    <n v="15"/>
    <n v="40000"/>
    <n v="300"/>
    <n v="12000"/>
    <n v="30"/>
    <n v="105000"/>
    <n v="3.75"/>
  </r>
  <r>
    <s v="P03"/>
    <x v="2"/>
    <x v="1"/>
    <x v="2"/>
    <n v="50"/>
    <n v="120"/>
    <n v="200"/>
    <n v="500"/>
    <n v="200"/>
    <n v="5"/>
    <n v="10"/>
    <n v="24000"/>
    <n v="70"/>
    <n v="14000"/>
    <n v="58.333333333333336"/>
    <n v="25000"/>
    <n v="2.5"/>
  </r>
  <r>
    <s v="P04"/>
    <x v="3"/>
    <x v="1"/>
    <x v="2"/>
    <n v="20"/>
    <n v="60"/>
    <n v="300"/>
    <n v="1000"/>
    <n v="300"/>
    <n v="5"/>
    <n v="10"/>
    <n v="18000"/>
    <n v="40"/>
    <n v="12000"/>
    <n v="66.666666666666657"/>
    <n v="20000"/>
    <n v="3.3333333333333335"/>
  </r>
  <r>
    <s v="P05"/>
    <x v="4"/>
    <x v="2"/>
    <x v="3"/>
    <n v="3000"/>
    <n v="5000"/>
    <n v="10"/>
    <n v="50"/>
    <n v="20"/>
    <n v="15"/>
    <n v="20"/>
    <n v="50000"/>
    <n v="2000"/>
    <n v="20000"/>
    <n v="40"/>
    <n v="150000"/>
    <n v="5"/>
  </r>
  <r>
    <s v="P06"/>
    <x v="5"/>
    <x v="0"/>
    <x v="0"/>
    <n v="450"/>
    <n v="850"/>
    <n v="30"/>
    <n v="100"/>
    <n v="60"/>
    <n v="7"/>
    <n v="10"/>
    <n v="25500"/>
    <n v="400"/>
    <n v="12000"/>
    <n v="47.058823529411761"/>
    <n v="45000"/>
    <n v="3.3333333333333335"/>
  </r>
  <r>
    <s v="P07"/>
    <x v="6"/>
    <x v="0"/>
    <x v="1"/>
    <n v="100"/>
    <n v="150"/>
    <n v="100"/>
    <n v="250"/>
    <n v="250"/>
    <n v="10"/>
    <n v="16"/>
    <n v="15000"/>
    <n v="50"/>
    <n v="5000"/>
    <n v="33.333333333333329"/>
    <n v="25000"/>
    <n v="2.5"/>
  </r>
  <r>
    <s v="P08"/>
    <x v="7"/>
    <x v="0"/>
    <x v="0"/>
    <n v="600"/>
    <n v="660"/>
    <n v="250"/>
    <n v="700"/>
    <n v="500"/>
    <n v="7"/>
    <n v="10"/>
    <n v="165000"/>
    <n v="60"/>
    <n v="15000"/>
    <n v="9.0909090909090917"/>
    <n v="420000"/>
    <n v="2.8"/>
  </r>
  <r>
    <s v="P09"/>
    <x v="8"/>
    <x v="0"/>
    <x v="2"/>
    <n v="5000"/>
    <n v="7000"/>
    <n v="20"/>
    <n v="80"/>
    <n v="20"/>
    <n v="5"/>
    <n v="20"/>
    <n v="140000"/>
    <n v="2000"/>
    <n v="40000"/>
    <n v="28.571428571428569"/>
    <n v="400000"/>
    <n v="4"/>
  </r>
  <r>
    <s v="P10"/>
    <x v="9"/>
    <x v="0"/>
    <x v="3"/>
    <n v="10000"/>
    <n v="15000"/>
    <n v="250"/>
    <n v="550"/>
    <n v="250"/>
    <n v="15"/>
    <n v="30"/>
    <n v="3750000"/>
    <n v="5000"/>
    <n v="1250000"/>
    <n v="33.333333333333329"/>
    <n v="5500000"/>
    <n v="2.2000000000000002"/>
  </r>
  <r>
    <s v="P11"/>
    <x v="10"/>
    <x v="0"/>
    <x v="4"/>
    <n v="150"/>
    <n v="200"/>
    <n v="500"/>
    <n v="900"/>
    <n v="700"/>
    <n v="6"/>
    <n v="8"/>
    <n v="100000"/>
    <n v="50"/>
    <n v="25000"/>
    <n v="25"/>
    <n v="135000"/>
    <n v="1.8"/>
  </r>
  <r>
    <s v="P12"/>
    <x v="11"/>
    <x v="0"/>
    <x v="4"/>
    <n v="750"/>
    <n v="900"/>
    <n v="40"/>
    <n v="200"/>
    <n v="70"/>
    <n v="6"/>
    <n v="14"/>
    <n v="36000"/>
    <n v="150"/>
    <n v="6000"/>
    <n v="16.666666666666664"/>
    <n v="150000"/>
    <n v="5"/>
  </r>
  <r>
    <s v="P13"/>
    <x v="12"/>
    <x v="0"/>
    <x v="5"/>
    <n v="15000"/>
    <n v="20000"/>
    <n v="25"/>
    <n v="140"/>
    <n v="250"/>
    <n v="4"/>
    <n v="24"/>
    <n v="500000"/>
    <n v="5000"/>
    <n v="125000"/>
    <n v="25"/>
    <n v="2100000"/>
    <n v="5.6"/>
  </r>
  <r>
    <s v="P14"/>
    <x v="13"/>
    <x v="0"/>
    <x v="5"/>
    <n v="50"/>
    <n v="90"/>
    <n v="0"/>
    <n v="10"/>
    <n v="1000"/>
    <n v="4"/>
    <n v="10"/>
    <n v="0"/>
    <n v="40"/>
    <n v="0"/>
    <n v="0"/>
    <n v="500"/>
    <n v="10"/>
  </r>
  <r>
    <s v="P15"/>
    <x v="14"/>
    <x v="2"/>
    <x v="5"/>
    <n v="7000"/>
    <n v="9000"/>
    <n v="15"/>
    <n v="60"/>
    <n v="35"/>
    <n v="4"/>
    <n v="30"/>
    <n v="135000"/>
    <n v="2000"/>
    <n v="30000"/>
    <n v="22.222222222222221"/>
    <n v="420000"/>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F7190B-9B96-4E18-9A3D-02572796DE21}"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Products name">
  <location ref="A3:B14" firstHeaderRow="1" firstDataRow="1" firstDataCol="1"/>
  <pivotFields count="17">
    <pivotField showAll="0"/>
    <pivotField axis="axisRow" showAll="0" sortType="ascending">
      <items count="16">
        <item x="10"/>
        <item x="12"/>
        <item h="1" x="6"/>
        <item x="14"/>
        <item x="7"/>
        <item h="1" x="1"/>
        <item x="8"/>
        <item h="1" x="11"/>
        <item x="2"/>
        <item x="4"/>
        <item x="3"/>
        <item h="1" x="13"/>
        <item x="9"/>
        <item h="1" x="5"/>
        <item x="0"/>
        <item t="default"/>
      </items>
      <autoSortScope>
        <pivotArea dataOnly="0" outline="0" fieldPosition="0">
          <references count="1">
            <reference field="4294967294" count="1" selected="0">
              <x v="0"/>
            </reference>
          </references>
        </pivotArea>
      </autoSortScope>
    </pivotField>
    <pivotField showAll="0"/>
    <pivotField showAll="0">
      <items count="7">
        <item x="0"/>
        <item x="1"/>
        <item x="2"/>
        <item x="3"/>
        <item x="4"/>
        <item x="5"/>
        <item t="default"/>
      </items>
    </pivotField>
    <pivotField numFmtId="164" showAll="0"/>
    <pivotField numFmtId="164" showAll="0"/>
    <pivotField showAll="0"/>
    <pivotField showAll="0"/>
    <pivotField showAll="0"/>
    <pivotField showAll="0"/>
    <pivotField numFmtId="165" showAll="0"/>
    <pivotField numFmtId="164" showAll="0"/>
    <pivotField numFmtId="164" showAll="0"/>
    <pivotField dataField="1" numFmtId="164" showAll="0"/>
    <pivotField numFmtId="2" showAll="0"/>
    <pivotField numFmtId="164" showAll="0"/>
    <pivotField numFmtId="2" showAll="0"/>
  </pivotFields>
  <rowFields count="1">
    <field x="1"/>
  </rowFields>
  <rowItems count="11">
    <i>
      <x v="10"/>
    </i>
    <i>
      <x v="8"/>
    </i>
    <i>
      <x v="14"/>
    </i>
    <i>
      <x v="4"/>
    </i>
    <i>
      <x v="9"/>
    </i>
    <i>
      <x/>
    </i>
    <i>
      <x v="3"/>
    </i>
    <i>
      <x v="6"/>
    </i>
    <i>
      <x v="1"/>
    </i>
    <i>
      <x v="12"/>
    </i>
    <i t="grand">
      <x/>
    </i>
  </rowItems>
  <colItems count="1">
    <i/>
  </colItems>
  <dataFields count="1">
    <dataField name="Sum of Total profit" fld="13" baseField="0" baseItem="0"/>
  </dataFields>
  <chartFormats count="1">
    <chartFormat chart="4" format="1" series="1">
      <pivotArea type="data" outline="0" fieldPosition="0">
        <references count="1">
          <reference field="4294967294" count="1" selected="0">
            <x v="0"/>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26EB5C-963D-43CD-B337-94C7D2BC6E93}" name="PivotTable3" cacheId="1" dataPosition="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9" rowHeaderCaption="Suppliers">
  <location ref="A3:D10" firstHeaderRow="0" firstDataRow="1" firstDataCol="1"/>
  <pivotFields count="17">
    <pivotField showAll="0"/>
    <pivotField showAll="0"/>
    <pivotField showAll="0"/>
    <pivotField axis="axisRow" showAll="0">
      <items count="7">
        <item x="0"/>
        <item x="1"/>
        <item x="2"/>
        <item x="3"/>
        <item x="4"/>
        <item x="5"/>
        <item t="default"/>
      </items>
    </pivotField>
    <pivotField numFmtId="164" showAll="0"/>
    <pivotField numFmtId="164" showAll="0"/>
    <pivotField showAll="0"/>
    <pivotField showAll="0"/>
    <pivotField showAll="0"/>
    <pivotField dataField="1" showAll="0"/>
    <pivotField numFmtId="165" showAll="0"/>
    <pivotField numFmtId="164" showAll="0"/>
    <pivotField numFmtId="164" showAll="0"/>
    <pivotField dataField="1" numFmtId="164" showAll="0"/>
    <pivotField numFmtId="2" showAll="0"/>
    <pivotField dataField="1" numFmtId="164" showAll="0"/>
    <pivotField numFmtId="2" showAll="0"/>
  </pivotFields>
  <rowFields count="1">
    <field x="3"/>
  </rowFields>
  <rowItems count="7">
    <i>
      <x/>
    </i>
    <i>
      <x v="1"/>
    </i>
    <i>
      <x v="2"/>
    </i>
    <i>
      <x v="3"/>
    </i>
    <i>
      <x v="4"/>
    </i>
    <i>
      <x v="5"/>
    </i>
    <i t="grand">
      <x/>
    </i>
  </rowItems>
  <colFields count="1">
    <field x="-2"/>
  </colFields>
  <colItems count="3">
    <i>
      <x/>
    </i>
    <i i="1">
      <x v="1"/>
    </i>
    <i i="2">
      <x v="2"/>
    </i>
  </colItems>
  <dataFields count="3">
    <dataField name=" Total profit" fld="13" baseField="0" baseItem="0"/>
    <dataField name=" Inventory value" fld="15" baseField="0" baseItem="0"/>
    <dataField name="Average Lead time" fld="9" subtotal="average" baseField="0" baseItem="0"/>
  </dataFields>
  <formats count="3">
    <format dxfId="4">
      <pivotArea dataOnly="0" labelOnly="1" outline="0" fieldPosition="0">
        <references count="1">
          <reference field="4294967294" count="1">
            <x v="1"/>
          </reference>
        </references>
      </pivotArea>
    </format>
    <format dxfId="3">
      <pivotArea dataOnly="0" labelOnly="1" outline="0" fieldPosition="0">
        <references count="1">
          <reference field="4294967294" count="1">
            <x v="0"/>
          </reference>
        </references>
      </pivotArea>
    </format>
    <format dxfId="2">
      <pivotArea field="3" grandRow="1" outline="0" collapsedLevelsAreSubtotals="1" axis="axisRow" fieldPosition="0">
        <references count="1">
          <reference field="4294967294" count="1" selected="0">
            <x v="2"/>
          </reference>
        </references>
      </pivotArea>
    </format>
  </formats>
  <chartFormats count="24">
    <chartFormat chart="44" format="69" series="1">
      <pivotArea type="data" outline="0" fieldPosition="0">
        <references count="1">
          <reference field="4294967294" count="1" selected="0">
            <x v="0"/>
          </reference>
        </references>
      </pivotArea>
    </chartFormat>
    <chartFormat chart="44" format="70">
      <pivotArea type="data" outline="0" fieldPosition="0">
        <references count="2">
          <reference field="4294967294" count="1" selected="0">
            <x v="0"/>
          </reference>
          <reference field="3" count="1" selected="0">
            <x v="0"/>
          </reference>
        </references>
      </pivotArea>
    </chartFormat>
    <chartFormat chart="44" format="71">
      <pivotArea type="data" outline="0" fieldPosition="0">
        <references count="2">
          <reference field="4294967294" count="1" selected="0">
            <x v="0"/>
          </reference>
          <reference field="3" count="1" selected="0">
            <x v="1"/>
          </reference>
        </references>
      </pivotArea>
    </chartFormat>
    <chartFormat chart="44" format="72">
      <pivotArea type="data" outline="0" fieldPosition="0">
        <references count="2">
          <reference field="4294967294" count="1" selected="0">
            <x v="0"/>
          </reference>
          <reference field="3" count="1" selected="0">
            <x v="2"/>
          </reference>
        </references>
      </pivotArea>
    </chartFormat>
    <chartFormat chart="44" format="73">
      <pivotArea type="data" outline="0" fieldPosition="0">
        <references count="2">
          <reference field="4294967294" count="1" selected="0">
            <x v="0"/>
          </reference>
          <reference field="3" count="1" selected="0">
            <x v="3"/>
          </reference>
        </references>
      </pivotArea>
    </chartFormat>
    <chartFormat chart="44" format="74">
      <pivotArea type="data" outline="0" fieldPosition="0">
        <references count="2">
          <reference field="4294967294" count="1" selected="0">
            <x v="0"/>
          </reference>
          <reference field="3" count="1" selected="0">
            <x v="4"/>
          </reference>
        </references>
      </pivotArea>
    </chartFormat>
    <chartFormat chart="44" format="75">
      <pivotArea type="data" outline="0" fieldPosition="0">
        <references count="2">
          <reference field="4294967294" count="1" selected="0">
            <x v="0"/>
          </reference>
          <reference field="3" count="1" selected="0">
            <x v="5"/>
          </reference>
        </references>
      </pivotArea>
    </chartFormat>
    <chartFormat chart="44" format="76" series="1">
      <pivotArea type="data" outline="0" fieldPosition="0">
        <references count="1">
          <reference field="4294967294" count="1" selected="0">
            <x v="2"/>
          </reference>
        </references>
      </pivotArea>
    </chartFormat>
    <chartFormat chart="44" format="77">
      <pivotArea type="data" outline="0" fieldPosition="0">
        <references count="2">
          <reference field="4294967294" count="1" selected="0">
            <x v="2"/>
          </reference>
          <reference field="3" count="1" selected="0">
            <x v="0"/>
          </reference>
        </references>
      </pivotArea>
    </chartFormat>
    <chartFormat chart="44" format="78">
      <pivotArea type="data" outline="0" fieldPosition="0">
        <references count="2">
          <reference field="4294967294" count="1" selected="0">
            <x v="2"/>
          </reference>
          <reference field="3" count="1" selected="0">
            <x v="1"/>
          </reference>
        </references>
      </pivotArea>
    </chartFormat>
    <chartFormat chart="44" format="79">
      <pivotArea type="data" outline="0" fieldPosition="0">
        <references count="2">
          <reference field="4294967294" count="1" selected="0">
            <x v="2"/>
          </reference>
          <reference field="3" count="1" selected="0">
            <x v="2"/>
          </reference>
        </references>
      </pivotArea>
    </chartFormat>
    <chartFormat chart="44" format="80">
      <pivotArea type="data" outline="0" fieldPosition="0">
        <references count="2">
          <reference field="4294967294" count="1" selected="0">
            <x v="2"/>
          </reference>
          <reference field="3" count="1" selected="0">
            <x v="3"/>
          </reference>
        </references>
      </pivotArea>
    </chartFormat>
    <chartFormat chart="44" format="81">
      <pivotArea type="data" outline="0" fieldPosition="0">
        <references count="2">
          <reference field="4294967294" count="1" selected="0">
            <x v="2"/>
          </reference>
          <reference field="3" count="1" selected="0">
            <x v="4"/>
          </reference>
        </references>
      </pivotArea>
    </chartFormat>
    <chartFormat chart="44" format="82">
      <pivotArea type="data" outline="0" fieldPosition="0">
        <references count="2">
          <reference field="4294967294" count="1" selected="0">
            <x v="2"/>
          </reference>
          <reference field="3" count="1" selected="0">
            <x v="5"/>
          </reference>
        </references>
      </pivotArea>
    </chartFormat>
    <chartFormat chart="44" format="83" series="1">
      <pivotArea type="data" outline="0" fieldPosition="0">
        <references count="1">
          <reference field="4294967294" count="1" selected="0">
            <x v="1"/>
          </reference>
        </references>
      </pivotArea>
    </chartFormat>
    <chartFormat chart="44" format="84">
      <pivotArea type="data" outline="0" fieldPosition="0">
        <references count="2">
          <reference field="4294967294" count="1" selected="0">
            <x v="1"/>
          </reference>
          <reference field="3" count="1" selected="0">
            <x v="0"/>
          </reference>
        </references>
      </pivotArea>
    </chartFormat>
    <chartFormat chart="44" format="85">
      <pivotArea type="data" outline="0" fieldPosition="0">
        <references count="2">
          <reference field="4294967294" count="1" selected="0">
            <x v="1"/>
          </reference>
          <reference field="3" count="1" selected="0">
            <x v="1"/>
          </reference>
        </references>
      </pivotArea>
    </chartFormat>
    <chartFormat chart="44" format="86">
      <pivotArea type="data" outline="0" fieldPosition="0">
        <references count="2">
          <reference field="4294967294" count="1" selected="0">
            <x v="1"/>
          </reference>
          <reference field="3" count="1" selected="0">
            <x v="2"/>
          </reference>
        </references>
      </pivotArea>
    </chartFormat>
    <chartFormat chart="44" format="87">
      <pivotArea type="data" outline="0" fieldPosition="0">
        <references count="2">
          <reference field="4294967294" count="1" selected="0">
            <x v="1"/>
          </reference>
          <reference field="3" count="1" selected="0">
            <x v="3"/>
          </reference>
        </references>
      </pivotArea>
    </chartFormat>
    <chartFormat chart="44" format="88">
      <pivotArea type="data" outline="0" fieldPosition="0">
        <references count="2">
          <reference field="4294967294" count="1" selected="0">
            <x v="1"/>
          </reference>
          <reference field="3" count="1" selected="0">
            <x v="4"/>
          </reference>
        </references>
      </pivotArea>
    </chartFormat>
    <chartFormat chart="44" format="89">
      <pivotArea type="data" outline="0" fieldPosition="0">
        <references count="2">
          <reference field="4294967294" count="1" selected="0">
            <x v="1"/>
          </reference>
          <reference field="3" count="1" selected="0">
            <x v="5"/>
          </reference>
        </references>
      </pivotArea>
    </chartFormat>
    <chartFormat chart="46" format="0" series="1">
      <pivotArea type="data" outline="0" fieldPosition="0">
        <references count="1">
          <reference field="4294967294" count="1" selected="0">
            <x v="0"/>
          </reference>
        </references>
      </pivotArea>
    </chartFormat>
    <chartFormat chart="46" format="1" series="1">
      <pivotArea type="data" outline="0" fieldPosition="0">
        <references count="1">
          <reference field="4294967294" count="1" selected="0">
            <x v="1"/>
          </reference>
        </references>
      </pivotArea>
    </chartFormat>
    <chartFormat chart="46" format="2" series="1">
      <pivotArea type="data" outline="0" fieldPosition="0">
        <references count="1">
          <reference field="4294967294" count="1" selected="0">
            <x v="2"/>
          </reference>
        </references>
      </pivotArea>
    </chartFormat>
  </chartFormat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F1E534-8C3E-482F-ABB5-0FECA7CFE312}"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Dstock Status">
  <location ref="A7:B10" firstHeaderRow="1" firstDataRow="1" firstDataCol="1"/>
  <pivotFields count="18">
    <pivotField dataField="1" showAll="0"/>
    <pivotField showAll="0"/>
    <pivotField showAll="0"/>
    <pivotField numFmtId="164" showAll="0"/>
    <pivotField numFmtId="164" showAll="0"/>
    <pivotField showAll="0"/>
    <pivotField showAll="0"/>
    <pivotField showAll="0"/>
    <pivotField showAll="0"/>
    <pivotField numFmtId="165" showAll="0"/>
    <pivotField numFmtId="164" showAll="0"/>
    <pivotField numFmtId="164" showAll="0"/>
    <pivotField numFmtId="164" showAll="0"/>
    <pivotField numFmtId="2" showAll="0"/>
    <pivotField numFmtId="164" showAll="0"/>
    <pivotField numFmtId="2" showAll="0"/>
    <pivotField showAll="0"/>
    <pivotField axis="axisRow" showAll="0">
      <items count="3">
        <item x="0"/>
        <item x="1"/>
        <item t="default"/>
      </items>
    </pivotField>
  </pivotFields>
  <rowFields count="1">
    <field x="17"/>
  </rowFields>
  <rowItems count="3">
    <i>
      <x/>
    </i>
    <i>
      <x v="1"/>
    </i>
    <i t="grand">
      <x/>
    </i>
  </rowItems>
  <colItems count="1">
    <i/>
  </colItems>
  <dataFields count="1">
    <dataField name="Stock ratio" fld="0" subtotal="count" baseField="17" baseItem="0"/>
  </dataFields>
  <chartFormats count="3">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17" count="1" selected="0">
            <x v="0"/>
          </reference>
        </references>
      </pivotArea>
    </chartFormat>
    <chartFormat chart="2" format="5">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7D8219-6B4B-47AD-99C8-CCF2CBBEB2CB}" name="PivotTable5"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8" rowHeaderCaption="Category">
  <location ref="A3:C7" firstHeaderRow="0" firstDataRow="1" firstDataCol="1"/>
  <pivotFields count="17">
    <pivotField showAll="0"/>
    <pivotField showAll="0"/>
    <pivotField axis="axisRow" showAll="0">
      <items count="4">
        <item x="0"/>
        <item x="2"/>
        <item x="1"/>
        <item t="default"/>
      </items>
    </pivotField>
    <pivotField showAll="0">
      <items count="7">
        <item x="0"/>
        <item x="1"/>
        <item x="2"/>
        <item x="3"/>
        <item x="4"/>
        <item x="5"/>
        <item t="default"/>
      </items>
    </pivotField>
    <pivotField numFmtId="164" showAll="0"/>
    <pivotField numFmtId="164" showAll="0"/>
    <pivotField showAll="0"/>
    <pivotField showAll="0"/>
    <pivotField showAll="0"/>
    <pivotField showAll="0"/>
    <pivotField numFmtId="165" showAll="0"/>
    <pivotField dataField="1" numFmtId="164" showAll="0"/>
    <pivotField numFmtId="164" showAll="0"/>
    <pivotField dataField="1" numFmtId="164" showAll="0"/>
    <pivotField numFmtId="2" showAll="0"/>
    <pivotField numFmtId="164" showAll="0"/>
    <pivotField numFmtId="2" showAll="0"/>
  </pivotFields>
  <rowFields count="1">
    <field x="2"/>
  </rowFields>
  <rowItems count="4">
    <i>
      <x/>
    </i>
    <i>
      <x v="1"/>
    </i>
    <i>
      <x v="2"/>
    </i>
    <i t="grand">
      <x/>
    </i>
  </rowItems>
  <colFields count="1">
    <field x="-2"/>
  </colFields>
  <colItems count="2">
    <i>
      <x/>
    </i>
    <i i="1">
      <x v="1"/>
    </i>
  </colItems>
  <dataFields count="2">
    <dataField name=" Revenue " fld="11" baseField="1" baseItem="0"/>
    <dataField name="  Total profit" fld="13" baseField="1" baseItem="0"/>
  </dataFields>
  <formats count="2">
    <format dxfId="1">
      <pivotArea dataOnly="0" labelOnly="1" outline="0" fieldPosition="0">
        <references count="1">
          <reference field="4294967294" count="1">
            <x v="0"/>
          </reference>
        </references>
      </pivotArea>
    </format>
    <format dxfId="0">
      <pivotArea dataOnly="0" labelOnly="1" outline="0" fieldPosition="0">
        <references count="1">
          <reference field="4294967294" count="1">
            <x v="1"/>
          </reference>
        </references>
      </pivotArea>
    </format>
  </formats>
  <chartFormats count="2">
    <chartFormat chart="37" format="2" series="1">
      <pivotArea type="data" outline="0" fieldPosition="0">
        <references count="1">
          <reference field="4294967294" count="1" selected="0">
            <x v="0"/>
          </reference>
        </references>
      </pivotArea>
    </chartFormat>
    <chartFormat chart="37" format="3" series="1">
      <pivotArea type="data" outline="0" fieldPosition="0">
        <references count="1">
          <reference field="4294967294"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BBA4A2-38A7-404E-A61E-4E5D3F6C3620}"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A3:B10" firstHeaderRow="1" firstDataRow="1" firstDataCol="1"/>
  <pivotFields count="17">
    <pivotField showAll="0"/>
    <pivotField showAll="0"/>
    <pivotField showAll="0"/>
    <pivotField axis="axisRow" showAll="0">
      <items count="7">
        <item x="0"/>
        <item x="1"/>
        <item x="2"/>
        <item x="3"/>
        <item x="4"/>
        <item x="5"/>
        <item t="default"/>
      </items>
    </pivotField>
    <pivotField numFmtId="164" showAll="0"/>
    <pivotField numFmtId="164" showAll="0"/>
    <pivotField showAll="0"/>
    <pivotField showAll="0"/>
    <pivotField showAll="0"/>
    <pivotField showAll="0"/>
    <pivotField numFmtId="165" showAll="0"/>
    <pivotField numFmtId="164" showAll="0"/>
    <pivotField numFmtId="164" showAll="0"/>
    <pivotField dataField="1" numFmtId="164" showAll="0"/>
    <pivotField numFmtId="2" showAll="0"/>
    <pivotField numFmtId="164" showAll="0"/>
    <pivotField numFmtId="2" showAll="0"/>
  </pivotFields>
  <rowFields count="1">
    <field x="3"/>
  </rowFields>
  <rowItems count="7">
    <i>
      <x/>
    </i>
    <i>
      <x v="1"/>
    </i>
    <i>
      <x v="2"/>
    </i>
    <i>
      <x v="3"/>
    </i>
    <i>
      <x v="4"/>
    </i>
    <i>
      <x v="5"/>
    </i>
    <i t="grand">
      <x/>
    </i>
  </rowItems>
  <colItems count="1">
    <i/>
  </colItems>
  <dataFields count="1">
    <dataField name=" Total profit" fld="13" baseField="0" baseItem="0"/>
  </dataFields>
  <chartFormats count="1">
    <chartFormat chart="9"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 xr10:uid="{79FAE5E0-A0D3-4164-B568-9C3C8C146D7D}" sourceName="Supplier">
  <pivotTables>
    <pivotTable tabId="5" name="PivotTable3"/>
    <pivotTable tabId="7" name="PivotTable5"/>
    <pivotTable tabId="3" name="PivotTable1"/>
    <pivotTable tabId="10" name="PivotTable4"/>
  </pivotTables>
  <data>
    <tabular pivotCacheId="786122866">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 xr10:uid="{1D01C60E-8A1D-41EF-B91B-ED8304F04257}" cache="Slicer_Supplier" caption="Supplier"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6A690D2-6308-4392-A6A0-5FF9DB7B1463}" name="Table2" displayName="Table2" ref="B6:R21" totalsRowShown="0" headerRowDxfId="28" dataDxfId="27" tableBorderDxfId="26">
  <autoFilter ref="B6:R21" xr:uid="{16A690D2-6308-4392-A6A0-5FF9DB7B146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xr3:uid="{970CBD2D-1580-4C1C-A8A0-DA0ECFD9EA06}" name="Product ID" dataDxfId="25"/>
    <tableColumn id="2" xr3:uid="{3BD46755-4C75-4E2D-88B4-C9FE54CE83F6}" name="Product name" dataDxfId="24"/>
    <tableColumn id="3" xr3:uid="{A1C4C081-C9CF-4CA1-888A-D84BA7D196F1}" name="Category" dataDxfId="23"/>
    <tableColumn id="4" xr3:uid="{2E80FD40-1D85-4B62-A459-281057189B48}" name="Supplier" dataDxfId="22"/>
    <tableColumn id="5" xr3:uid="{43A32A1B-51FF-493B-8F8F-525DD5DB4F4D}" name="Cost" dataDxfId="21"/>
    <tableColumn id="6" xr3:uid="{C93D91A4-1E47-4C60-95B4-FA373474FF41}" name="Selling price" dataDxfId="20"/>
    <tableColumn id="7" xr3:uid="{50C51109-0EC7-41DE-88E5-2273BFE588DE}" name="Sales" dataDxfId="19"/>
    <tableColumn id="8" xr3:uid="{D6BAB8E1-34BB-44D0-B24C-B94E1E5B78DF}" name="Quantity" dataDxfId="18"/>
    <tableColumn id="9" xr3:uid="{88F42673-4381-4A44-BA1E-7402D3FDB50C}" name="Reorder" dataDxfId="17"/>
    <tableColumn id="10" xr3:uid="{74008A15-5167-482C-96F2-A63F0BCB939A}" name="Lead time" dataDxfId="16"/>
    <tableColumn id="11" xr3:uid="{0AAD845E-AD03-42E1-A688-CFEB9C749CF8}" name="Hold %" dataDxfId="15"/>
    <tableColumn id="12" xr3:uid="{73099053-712E-4509-AC2E-BC7EBCE642F0}" name="Revenue " dataDxfId="14">
      <calculatedColumnFormula>Sheet1!$G7*Sheet1!$H7</calculatedColumnFormula>
    </tableColumn>
    <tableColumn id="13" xr3:uid="{0D6DF968-8888-4F47-88D8-B327745AFEC1}" name="Profit per unit" dataDxfId="13">
      <calculatedColumnFormula>Sheet1!$G7-Sheet1!$F7</calculatedColumnFormula>
    </tableColumn>
    <tableColumn id="14" xr3:uid="{7089B312-4F83-4536-8F7D-B02E8B6BDAA5}" name="Total profit" dataDxfId="12">
      <calculatedColumnFormula>Sheet1!$N7*Sheet1!$H7</calculatedColumnFormula>
    </tableColumn>
    <tableColumn id="15" xr3:uid="{CC548782-BBBF-4A8B-888C-3FF69A0C68F4}" name="Profit margins%" dataDxfId="11">
      <calculatedColumnFormula>Sheet1!$O7/Sheet1!$M7*100</calculatedColumnFormula>
    </tableColumn>
    <tableColumn id="16" xr3:uid="{005AD3F3-B361-43AA-AA58-335621F3092C}" name="Inventory value" dataDxfId="10">
      <calculatedColumnFormula>Sheet1!$F7*Sheet1!$I7</calculatedColumnFormula>
    </tableColumn>
    <tableColumn id="17" xr3:uid="{26A66346-C81F-490E-B0CC-15DC4C7E1F50}" name="Months of stock " dataDxfId="9">
      <calculatedColumnFormula>Sheet1!$I7/Sheet1!$H7</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DBEBB35-9F59-485F-AF94-445820262420}" name="Table3" displayName="Table3" ref="T6:V21" totalsRowShown="0" tableBorderDxfId="8">
  <autoFilter ref="T6:V21" xr:uid="{BDBEBB35-9F59-485F-AF94-445820262420}">
    <filterColumn colId="0" hiddenButton="1"/>
    <filterColumn colId="1" hiddenButton="1"/>
    <filterColumn colId="2" hiddenButton="1"/>
  </autoFilter>
  <tableColumns count="3">
    <tableColumn id="1" xr3:uid="{D60A756F-CA07-4D18-A594-2AB84CC5E1AA}" name="dead stock" dataDxfId="7">
      <calculatedColumnFormula>IF(Sheet1!$R7&gt;6,"dead", "Active")</calculatedColumnFormula>
    </tableColumn>
    <tableColumn id="2" xr3:uid="{4B164C76-06E7-4D34-A92F-7F386B686C48}" name="Holding cost" dataDxfId="6">
      <calculatedColumnFormula>Sheet1!$Q7*Sheet1!$L7/100</calculatedColumnFormula>
    </tableColumn>
    <tableColumn id="3" xr3:uid="{F453878F-11E9-4A0D-A2F9-E362D44BEEF8}" name="Inventory turnover (by month)" dataDxfId="5">
      <calculatedColumnFormula>Sheet1!$H7/Sheet1!$I7</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0154B-DBFD-4A99-AD8F-76F6000450E7}">
  <sheetPr>
    <tabColor theme="0"/>
  </sheetPr>
  <dimension ref="B1:W25"/>
  <sheetViews>
    <sheetView showGridLines="0" zoomScale="70" zoomScaleNormal="70" workbookViewId="0">
      <selection activeCell="R24" sqref="R24"/>
    </sheetView>
  </sheetViews>
  <sheetFormatPr defaultRowHeight="15" x14ac:dyDescent="0.25"/>
  <cols>
    <col min="2" max="2" width="13.140625" customWidth="1"/>
    <col min="3" max="3" width="17.7109375" customWidth="1"/>
    <col min="4" max="4" width="15.5703125" customWidth="1"/>
    <col min="5" max="5" width="14.42578125" customWidth="1"/>
    <col min="6" max="6" width="12.85546875" customWidth="1"/>
    <col min="7" max="7" width="11.28515625" customWidth="1"/>
    <col min="8" max="8" width="11" customWidth="1"/>
    <col min="9" max="9" width="12.85546875" customWidth="1"/>
    <col min="10" max="10" width="10.7109375" customWidth="1"/>
    <col min="11" max="11" width="11.42578125" customWidth="1"/>
    <col min="13" max="13" width="13.7109375" customWidth="1"/>
    <col min="14" max="14" width="14.5703125" customWidth="1"/>
    <col min="15" max="15" width="13.85546875" customWidth="1"/>
    <col min="16" max="16" width="16.42578125" customWidth="1"/>
    <col min="17" max="17" width="16.140625" customWidth="1"/>
    <col min="18" max="18" width="17" customWidth="1"/>
    <col min="19" max="19" width="13.28515625" customWidth="1"/>
    <col min="20" max="20" width="14" customWidth="1"/>
    <col min="21" max="21" width="16.85546875" customWidth="1"/>
    <col min="22" max="22" width="22.5703125" customWidth="1"/>
    <col min="23" max="23" width="16.42578125" customWidth="1"/>
    <col min="28" max="28" width="12.85546875" customWidth="1"/>
    <col min="31" max="31" width="13.28515625" customWidth="1"/>
  </cols>
  <sheetData>
    <row r="1" spans="2:23" ht="15.75" thickBot="1" x14ac:dyDescent="0.3"/>
    <row r="2" spans="2:23" x14ac:dyDescent="0.25">
      <c r="B2" s="75"/>
      <c r="C2" s="76"/>
      <c r="D2" s="77"/>
    </row>
    <row r="3" spans="2:23" ht="31.5" customHeight="1" x14ac:dyDescent="0.55000000000000004">
      <c r="B3" s="78" t="s">
        <v>0</v>
      </c>
      <c r="C3" s="79"/>
      <c r="D3" s="80"/>
      <c r="F3" s="84" t="s">
        <v>87</v>
      </c>
      <c r="G3" s="84"/>
      <c r="I3" s="35"/>
    </row>
    <row r="4" spans="2:23" ht="15.75" thickBot="1" x14ac:dyDescent="0.3">
      <c r="B4" s="81"/>
      <c r="C4" s="82"/>
      <c r="D4" s="83"/>
    </row>
    <row r="5" spans="2:23" ht="23.25" x14ac:dyDescent="0.35">
      <c r="B5" s="73"/>
      <c r="C5" s="74"/>
      <c r="D5" s="74"/>
      <c r="E5" s="74"/>
      <c r="F5" s="74"/>
      <c r="G5" s="74"/>
      <c r="H5" s="74"/>
      <c r="I5" s="74"/>
      <c r="J5" s="74"/>
      <c r="K5" s="74"/>
      <c r="L5" s="74"/>
      <c r="M5" s="74"/>
      <c r="N5" s="74"/>
      <c r="O5" s="74"/>
      <c r="P5" s="74"/>
      <c r="Q5" s="74"/>
      <c r="R5" s="74"/>
      <c r="S5" s="2"/>
    </row>
    <row r="6" spans="2:23" ht="27" customHeight="1" thickBot="1" x14ac:dyDescent="0.3">
      <c r="B6" s="44" t="s">
        <v>16</v>
      </c>
      <c r="C6" s="45" t="s">
        <v>17</v>
      </c>
      <c r="D6" s="45" t="s">
        <v>18</v>
      </c>
      <c r="E6" s="45" t="s">
        <v>19</v>
      </c>
      <c r="F6" s="45" t="s">
        <v>20</v>
      </c>
      <c r="G6" s="46" t="s">
        <v>90</v>
      </c>
      <c r="H6" s="45" t="s">
        <v>21</v>
      </c>
      <c r="I6" s="45" t="s">
        <v>55</v>
      </c>
      <c r="J6" s="45" t="s">
        <v>22</v>
      </c>
      <c r="K6" s="45" t="s">
        <v>23</v>
      </c>
      <c r="L6" s="45" t="s">
        <v>24</v>
      </c>
      <c r="M6" s="45" t="s">
        <v>49</v>
      </c>
      <c r="N6" s="46" t="s">
        <v>50</v>
      </c>
      <c r="O6" s="45" t="s">
        <v>51</v>
      </c>
      <c r="P6" s="46" t="s">
        <v>52</v>
      </c>
      <c r="Q6" s="46" t="s">
        <v>53</v>
      </c>
      <c r="R6" s="46" t="s">
        <v>54</v>
      </c>
      <c r="S6" s="39" t="s">
        <v>68</v>
      </c>
      <c r="T6" s="44" t="s">
        <v>57</v>
      </c>
      <c r="U6" s="45" t="s">
        <v>56</v>
      </c>
      <c r="V6" s="46" t="s">
        <v>89</v>
      </c>
      <c r="W6" s="49" t="s">
        <v>58</v>
      </c>
    </row>
    <row r="7" spans="2:23" ht="15.75" thickBot="1" x14ac:dyDescent="0.3">
      <c r="B7" s="36" t="s">
        <v>1</v>
      </c>
      <c r="C7" s="3" t="s">
        <v>25</v>
      </c>
      <c r="D7" s="3" t="s">
        <v>40</v>
      </c>
      <c r="E7" s="3" t="s">
        <v>43</v>
      </c>
      <c r="F7" s="4">
        <v>500</v>
      </c>
      <c r="G7" s="4">
        <v>800</v>
      </c>
      <c r="H7" s="5">
        <v>50</v>
      </c>
      <c r="I7" s="5">
        <v>200</v>
      </c>
      <c r="J7" s="5">
        <v>100</v>
      </c>
      <c r="K7" s="5">
        <v>7</v>
      </c>
      <c r="L7" s="6">
        <v>15</v>
      </c>
      <c r="M7" s="7">
        <f>Sheet1!$G7*Sheet1!$H7</f>
        <v>40000</v>
      </c>
      <c r="N7" s="7">
        <f>Sheet1!$G7-Sheet1!$F7</f>
        <v>300</v>
      </c>
      <c r="O7" s="7">
        <f>Sheet1!$N7*Sheet1!$H7</f>
        <v>15000</v>
      </c>
      <c r="P7" s="8">
        <f>Sheet1!$O7/Sheet1!$M7*100</f>
        <v>37.5</v>
      </c>
      <c r="Q7" s="7">
        <f>Sheet1!$F7*Sheet1!$I7</f>
        <v>100000</v>
      </c>
      <c r="R7" s="8">
        <f>Sheet1!$I7/Sheet1!$H7</f>
        <v>4</v>
      </c>
      <c r="S7" s="40" t="str" cm="1">
        <f t="array" ref="S7:S19">IF(I7:I19&gt;J7:J19,"ok","Restock")</f>
        <v>ok</v>
      </c>
      <c r="T7" s="47" t="str">
        <f>IF(Sheet1!$R7&gt;6,"dead", "Active")</f>
        <v>Active</v>
      </c>
      <c r="U7" s="9">
        <f>Sheet1!$Q7*Sheet1!$L7/100</f>
        <v>15000</v>
      </c>
      <c r="V7" s="8">
        <f>Sheet1!$H7/Sheet1!$I7</f>
        <v>0.25</v>
      </c>
      <c r="W7" s="50" t="str" cm="1">
        <f t="array" ref="W7:W21">IF(V7:V21&gt;0.5,"Fast",IF(V7:V21&gt;0.2,"Normal","Slow"))</f>
        <v>Normal</v>
      </c>
    </row>
    <row r="8" spans="2:23" ht="15.75" thickBot="1" x14ac:dyDescent="0.3">
      <c r="B8" s="37" t="s">
        <v>2</v>
      </c>
      <c r="C8" s="10" t="s">
        <v>26</v>
      </c>
      <c r="D8" s="10" t="s">
        <v>40</v>
      </c>
      <c r="E8" s="10" t="s">
        <v>44</v>
      </c>
      <c r="F8" s="11">
        <v>700</v>
      </c>
      <c r="G8" s="11">
        <v>1000</v>
      </c>
      <c r="H8" s="12">
        <v>40</v>
      </c>
      <c r="I8" s="12">
        <v>150</v>
      </c>
      <c r="J8" s="12">
        <v>80</v>
      </c>
      <c r="K8" s="12">
        <v>10</v>
      </c>
      <c r="L8" s="13">
        <v>15</v>
      </c>
      <c r="M8" s="14">
        <f>Sheet1!$G8*Sheet1!$H8</f>
        <v>40000</v>
      </c>
      <c r="N8" s="14">
        <f>Sheet1!$G8-Sheet1!$F8</f>
        <v>300</v>
      </c>
      <c r="O8" s="14">
        <f>Sheet1!$N8*Sheet1!$H8</f>
        <v>12000</v>
      </c>
      <c r="P8" s="15">
        <f>Sheet1!$O8/Sheet1!$M8*100</f>
        <v>30</v>
      </c>
      <c r="Q8" s="14">
        <f>Sheet1!$F8*Sheet1!$I8</f>
        <v>105000</v>
      </c>
      <c r="R8" s="15">
        <f>Sheet1!$I8/Sheet1!$H8</f>
        <v>3.75</v>
      </c>
      <c r="S8" s="41" t="str">
        <v>ok</v>
      </c>
      <c r="T8" s="47" t="str">
        <f>IF(Sheet1!$R8&gt;6,"dead", "Active")</f>
        <v>Active</v>
      </c>
      <c r="U8" s="16">
        <f>Sheet1!$Q8*Sheet1!$L8/100</f>
        <v>15750</v>
      </c>
      <c r="V8" s="15">
        <f>Sheet1!$H8/Sheet1!$I8</f>
        <v>0.26666666666666666</v>
      </c>
      <c r="W8" s="51" t="str">
        <v>Normal</v>
      </c>
    </row>
    <row r="9" spans="2:23" ht="15.75" thickBot="1" x14ac:dyDescent="0.3">
      <c r="B9" s="38" t="s">
        <v>3</v>
      </c>
      <c r="C9" s="17" t="s">
        <v>29</v>
      </c>
      <c r="D9" s="17" t="s">
        <v>41</v>
      </c>
      <c r="E9" s="17" t="s">
        <v>45</v>
      </c>
      <c r="F9" s="18">
        <v>50</v>
      </c>
      <c r="G9" s="18">
        <v>120</v>
      </c>
      <c r="H9" s="19">
        <v>200</v>
      </c>
      <c r="I9" s="19">
        <v>500</v>
      </c>
      <c r="J9" s="19">
        <v>200</v>
      </c>
      <c r="K9" s="19">
        <v>5</v>
      </c>
      <c r="L9" s="20">
        <v>10</v>
      </c>
      <c r="M9" s="21">
        <f>Sheet1!$G9*Sheet1!$H9</f>
        <v>24000</v>
      </c>
      <c r="N9" s="21">
        <f>Sheet1!$G9-Sheet1!$F9</f>
        <v>70</v>
      </c>
      <c r="O9" s="21">
        <f>Sheet1!$N9*Sheet1!$H9</f>
        <v>14000</v>
      </c>
      <c r="P9" s="22">
        <f>Sheet1!$O9/Sheet1!$M9*100</f>
        <v>58.333333333333336</v>
      </c>
      <c r="Q9" s="21">
        <f>Sheet1!$F9*Sheet1!$I9</f>
        <v>25000</v>
      </c>
      <c r="R9" s="22">
        <f>Sheet1!$I9/Sheet1!$H9</f>
        <v>2.5</v>
      </c>
      <c r="S9" s="42" t="str">
        <v>ok</v>
      </c>
      <c r="T9" s="47" t="str">
        <f>IF(Sheet1!$R9&gt;6,"dead", "Active")</f>
        <v>Active</v>
      </c>
      <c r="U9" s="23">
        <f>Sheet1!$Q9*Sheet1!$L9/100</f>
        <v>2500</v>
      </c>
      <c r="V9" s="22">
        <f>Sheet1!$H9/Sheet1!$I9</f>
        <v>0.4</v>
      </c>
      <c r="W9" s="52" t="str">
        <v>Normal</v>
      </c>
    </row>
    <row r="10" spans="2:23" ht="15.75" thickBot="1" x14ac:dyDescent="0.3">
      <c r="B10" s="37" t="s">
        <v>4</v>
      </c>
      <c r="C10" s="10" t="s">
        <v>27</v>
      </c>
      <c r="D10" s="10" t="s">
        <v>41</v>
      </c>
      <c r="E10" s="10" t="s">
        <v>45</v>
      </c>
      <c r="F10" s="11">
        <v>20</v>
      </c>
      <c r="G10" s="11">
        <v>60</v>
      </c>
      <c r="H10" s="12">
        <v>300</v>
      </c>
      <c r="I10" s="12">
        <v>1000</v>
      </c>
      <c r="J10" s="12">
        <v>300</v>
      </c>
      <c r="K10" s="12">
        <v>5</v>
      </c>
      <c r="L10" s="13">
        <v>10</v>
      </c>
      <c r="M10" s="14">
        <f>Sheet1!$G10*Sheet1!$H10</f>
        <v>18000</v>
      </c>
      <c r="N10" s="14">
        <f>Sheet1!$G10-Sheet1!$F10</f>
        <v>40</v>
      </c>
      <c r="O10" s="14">
        <f>Sheet1!$N10*Sheet1!$H10</f>
        <v>12000</v>
      </c>
      <c r="P10" s="15">
        <f>Sheet1!$O10/Sheet1!$M10*100</f>
        <v>66.666666666666657</v>
      </c>
      <c r="Q10" s="14">
        <f>Sheet1!$F10*Sheet1!$I10</f>
        <v>20000</v>
      </c>
      <c r="R10" s="15">
        <f>Sheet1!$I10/Sheet1!$H10</f>
        <v>3.3333333333333335</v>
      </c>
      <c r="S10" s="41" t="str">
        <v>ok</v>
      </c>
      <c r="T10" s="47" t="str">
        <f>IF(Sheet1!$R10&gt;6,"dead", "Active")</f>
        <v>Active</v>
      </c>
      <c r="U10" s="16">
        <f>Sheet1!$Q10*Sheet1!$L10/100</f>
        <v>2000</v>
      </c>
      <c r="V10" s="15">
        <f>Sheet1!$H10/Sheet1!$I10</f>
        <v>0.3</v>
      </c>
      <c r="W10" s="51" t="str">
        <v>Normal</v>
      </c>
    </row>
    <row r="11" spans="2:23" ht="15.75" thickBot="1" x14ac:dyDescent="0.3">
      <c r="B11" s="38" t="s">
        <v>5</v>
      </c>
      <c r="C11" s="17" t="s">
        <v>28</v>
      </c>
      <c r="D11" s="17" t="s">
        <v>42</v>
      </c>
      <c r="E11" s="17" t="s">
        <v>46</v>
      </c>
      <c r="F11" s="18">
        <v>3000</v>
      </c>
      <c r="G11" s="18">
        <v>5000</v>
      </c>
      <c r="H11" s="19">
        <v>10</v>
      </c>
      <c r="I11" s="19">
        <v>50</v>
      </c>
      <c r="J11" s="19">
        <v>20</v>
      </c>
      <c r="K11" s="19">
        <v>15</v>
      </c>
      <c r="L11" s="20">
        <v>20</v>
      </c>
      <c r="M11" s="21">
        <f>Sheet1!$G11*Sheet1!$H11</f>
        <v>50000</v>
      </c>
      <c r="N11" s="21">
        <f>Sheet1!$G11-Sheet1!$F11</f>
        <v>2000</v>
      </c>
      <c r="O11" s="21">
        <f>Sheet1!$N11*Sheet1!$H11</f>
        <v>20000</v>
      </c>
      <c r="P11" s="22">
        <f>Sheet1!$O11/Sheet1!$M11*100</f>
        <v>40</v>
      </c>
      <c r="Q11" s="21">
        <f>Sheet1!$F11*Sheet1!$I11</f>
        <v>150000</v>
      </c>
      <c r="R11" s="22">
        <f>Sheet1!$I11/Sheet1!$H11</f>
        <v>5</v>
      </c>
      <c r="S11" s="42" t="str">
        <v>ok</v>
      </c>
      <c r="T11" s="47" t="str">
        <f>IF(Sheet1!$R11&gt;6,"dead", "Active")</f>
        <v>Active</v>
      </c>
      <c r="U11" s="23">
        <f>Sheet1!$Q11*Sheet1!$L11/100</f>
        <v>30000</v>
      </c>
      <c r="V11" s="22">
        <f>Sheet1!$H11/Sheet1!$I11</f>
        <v>0.2</v>
      </c>
      <c r="W11" s="52" t="str">
        <v>Slow</v>
      </c>
    </row>
    <row r="12" spans="2:23" ht="15.75" thickBot="1" x14ac:dyDescent="0.3">
      <c r="B12" s="37" t="s">
        <v>6</v>
      </c>
      <c r="C12" s="10" t="s">
        <v>30</v>
      </c>
      <c r="D12" s="10" t="s">
        <v>40</v>
      </c>
      <c r="E12" s="10" t="s">
        <v>43</v>
      </c>
      <c r="F12" s="11">
        <v>450</v>
      </c>
      <c r="G12" s="11">
        <v>850</v>
      </c>
      <c r="H12" s="12">
        <v>30</v>
      </c>
      <c r="I12" s="12">
        <v>100</v>
      </c>
      <c r="J12" s="12">
        <v>60</v>
      </c>
      <c r="K12" s="12">
        <v>7</v>
      </c>
      <c r="L12" s="13">
        <v>10</v>
      </c>
      <c r="M12" s="14">
        <f>Sheet1!$G12*Sheet1!$H12</f>
        <v>25500</v>
      </c>
      <c r="N12" s="14">
        <f>Sheet1!$G12-Sheet1!$F12</f>
        <v>400</v>
      </c>
      <c r="O12" s="14">
        <f>Sheet1!$N12*Sheet1!$H12</f>
        <v>12000</v>
      </c>
      <c r="P12" s="15">
        <f>Sheet1!$O12/Sheet1!$M12*100</f>
        <v>47.058823529411761</v>
      </c>
      <c r="Q12" s="14">
        <f>Sheet1!$F12*Sheet1!$I12</f>
        <v>45000</v>
      </c>
      <c r="R12" s="15">
        <f>Sheet1!$I12/Sheet1!$H12</f>
        <v>3.3333333333333335</v>
      </c>
      <c r="S12" s="41" t="str">
        <v>ok</v>
      </c>
      <c r="T12" s="47" t="str">
        <f>IF(Sheet1!$R12&gt;6,"dead", "Active")</f>
        <v>Active</v>
      </c>
      <c r="U12" s="16">
        <f>Sheet1!$Q12*Sheet1!$L12/100</f>
        <v>4500</v>
      </c>
      <c r="V12" s="15">
        <f>Sheet1!$H12/Sheet1!$I12</f>
        <v>0.3</v>
      </c>
      <c r="W12" s="51" t="str">
        <v>Normal</v>
      </c>
    </row>
    <row r="13" spans="2:23" ht="15.75" thickBot="1" x14ac:dyDescent="0.3">
      <c r="B13" s="38" t="s">
        <v>7</v>
      </c>
      <c r="C13" s="17" t="s">
        <v>31</v>
      </c>
      <c r="D13" s="17" t="s">
        <v>40</v>
      </c>
      <c r="E13" s="17" t="s">
        <v>44</v>
      </c>
      <c r="F13" s="18">
        <v>100</v>
      </c>
      <c r="G13" s="18">
        <v>150</v>
      </c>
      <c r="H13" s="19">
        <v>100</v>
      </c>
      <c r="I13" s="19">
        <v>250</v>
      </c>
      <c r="J13" s="19">
        <v>250</v>
      </c>
      <c r="K13" s="19">
        <v>10</v>
      </c>
      <c r="L13" s="20">
        <v>16</v>
      </c>
      <c r="M13" s="21">
        <f>Sheet1!$G13*Sheet1!$H13</f>
        <v>15000</v>
      </c>
      <c r="N13" s="21">
        <f>Sheet1!$G13-Sheet1!$F13</f>
        <v>50</v>
      </c>
      <c r="O13" s="21">
        <f>Sheet1!$N13*Sheet1!$H13</f>
        <v>5000</v>
      </c>
      <c r="P13" s="22">
        <f>Sheet1!$O13/Sheet1!$M13*100</f>
        <v>33.333333333333329</v>
      </c>
      <c r="Q13" s="21">
        <f>Sheet1!$F13*Sheet1!$I13</f>
        <v>25000</v>
      </c>
      <c r="R13" s="22">
        <f>Sheet1!$I13/Sheet1!$H13</f>
        <v>2.5</v>
      </c>
      <c r="S13" s="42" t="str">
        <v>Restock</v>
      </c>
      <c r="T13" s="47" t="str">
        <f>IF(Sheet1!$R13&gt;6,"dead", "Active")</f>
        <v>Active</v>
      </c>
      <c r="U13" s="23">
        <f>Sheet1!$Q13*Sheet1!$L13/100</f>
        <v>4000</v>
      </c>
      <c r="V13" s="22">
        <f>Sheet1!$H13/Sheet1!$I13</f>
        <v>0.4</v>
      </c>
      <c r="W13" s="52" t="str">
        <v>Normal</v>
      </c>
    </row>
    <row r="14" spans="2:23" ht="15.75" thickBot="1" x14ac:dyDescent="0.3">
      <c r="B14" s="37" t="s">
        <v>8</v>
      </c>
      <c r="C14" s="10" t="s">
        <v>32</v>
      </c>
      <c r="D14" s="10" t="s">
        <v>40</v>
      </c>
      <c r="E14" s="10" t="s">
        <v>43</v>
      </c>
      <c r="F14" s="11">
        <v>600</v>
      </c>
      <c r="G14" s="11">
        <v>660</v>
      </c>
      <c r="H14" s="12">
        <v>250</v>
      </c>
      <c r="I14" s="12">
        <v>700</v>
      </c>
      <c r="J14" s="12">
        <v>500</v>
      </c>
      <c r="K14" s="12">
        <v>7</v>
      </c>
      <c r="L14" s="13">
        <v>10</v>
      </c>
      <c r="M14" s="14">
        <f>Sheet1!$G14*Sheet1!$H14</f>
        <v>165000</v>
      </c>
      <c r="N14" s="14">
        <f>Sheet1!$G14-Sheet1!$F14</f>
        <v>60</v>
      </c>
      <c r="O14" s="14">
        <f>Sheet1!$N14*Sheet1!$H14</f>
        <v>15000</v>
      </c>
      <c r="P14" s="15">
        <f>Sheet1!$O14/Sheet1!$M14*100</f>
        <v>9.0909090909090917</v>
      </c>
      <c r="Q14" s="14">
        <f>Sheet1!$F14*Sheet1!$I14</f>
        <v>420000</v>
      </c>
      <c r="R14" s="15">
        <f>Sheet1!$I14/Sheet1!$H14</f>
        <v>2.8</v>
      </c>
      <c r="S14" s="41" t="str">
        <v>ok</v>
      </c>
      <c r="T14" s="47" t="str">
        <f>IF(Sheet1!$R14&gt;6,"dead", "Active")</f>
        <v>Active</v>
      </c>
      <c r="U14" s="16">
        <f>Sheet1!$Q14*Sheet1!$L14/100</f>
        <v>42000</v>
      </c>
      <c r="V14" s="15">
        <f>Sheet1!$H14/Sheet1!$I14</f>
        <v>0.35714285714285715</v>
      </c>
      <c r="W14" s="51" t="str">
        <v>Normal</v>
      </c>
    </row>
    <row r="15" spans="2:23" ht="15.75" thickBot="1" x14ac:dyDescent="0.3">
      <c r="B15" s="38" t="s">
        <v>9</v>
      </c>
      <c r="C15" s="17" t="s">
        <v>33</v>
      </c>
      <c r="D15" s="17" t="s">
        <v>40</v>
      </c>
      <c r="E15" s="17" t="s">
        <v>45</v>
      </c>
      <c r="F15" s="18">
        <v>5000</v>
      </c>
      <c r="G15" s="18">
        <v>7000</v>
      </c>
      <c r="H15" s="19">
        <v>20</v>
      </c>
      <c r="I15" s="19">
        <v>80</v>
      </c>
      <c r="J15" s="19">
        <v>20</v>
      </c>
      <c r="K15" s="19">
        <v>5</v>
      </c>
      <c r="L15" s="20">
        <v>20</v>
      </c>
      <c r="M15" s="21">
        <f>Sheet1!$G15*Sheet1!$H15</f>
        <v>140000</v>
      </c>
      <c r="N15" s="21">
        <f>Sheet1!$G15-Sheet1!$F15</f>
        <v>2000</v>
      </c>
      <c r="O15" s="21">
        <f>Sheet1!$N15*Sheet1!$H15</f>
        <v>40000</v>
      </c>
      <c r="P15" s="22">
        <f>Sheet1!$O15/Sheet1!$M15*100</f>
        <v>28.571428571428569</v>
      </c>
      <c r="Q15" s="21">
        <f>Sheet1!$F15*Sheet1!$I15</f>
        <v>400000</v>
      </c>
      <c r="R15" s="22">
        <f>Sheet1!$I15/Sheet1!$H15</f>
        <v>4</v>
      </c>
      <c r="S15" s="42" t="str">
        <v>ok</v>
      </c>
      <c r="T15" s="47" t="str">
        <f>IF(Sheet1!$R15&gt;6,"dead", "Active")</f>
        <v>Active</v>
      </c>
      <c r="U15" s="23">
        <f>Sheet1!$Q15*Sheet1!$L15/100</f>
        <v>80000</v>
      </c>
      <c r="V15" s="22">
        <f>Sheet1!$H15/Sheet1!$I15</f>
        <v>0.25</v>
      </c>
      <c r="W15" s="52" t="str">
        <v>Normal</v>
      </c>
    </row>
    <row r="16" spans="2:23" ht="15.75" thickBot="1" x14ac:dyDescent="0.3">
      <c r="B16" s="37" t="s">
        <v>10</v>
      </c>
      <c r="C16" s="10" t="s">
        <v>37</v>
      </c>
      <c r="D16" s="10" t="s">
        <v>40</v>
      </c>
      <c r="E16" s="10" t="s">
        <v>46</v>
      </c>
      <c r="F16" s="11">
        <v>10000</v>
      </c>
      <c r="G16" s="11">
        <v>15000</v>
      </c>
      <c r="H16" s="12">
        <v>250</v>
      </c>
      <c r="I16" s="12">
        <v>550</v>
      </c>
      <c r="J16" s="12">
        <v>250</v>
      </c>
      <c r="K16" s="12">
        <v>15</v>
      </c>
      <c r="L16" s="13">
        <v>30</v>
      </c>
      <c r="M16" s="14">
        <f>Sheet1!$G16*Sheet1!$H16</f>
        <v>3750000</v>
      </c>
      <c r="N16" s="14">
        <f>Sheet1!$G16-Sheet1!$F16</f>
        <v>5000</v>
      </c>
      <c r="O16" s="14">
        <f>Sheet1!$N16*Sheet1!$H16</f>
        <v>1250000</v>
      </c>
      <c r="P16" s="15">
        <f>Sheet1!$O16/Sheet1!$M16*100</f>
        <v>33.333333333333329</v>
      </c>
      <c r="Q16" s="14">
        <f>Sheet1!$F16*Sheet1!$I16</f>
        <v>5500000</v>
      </c>
      <c r="R16" s="15">
        <f>Sheet1!$I16/Sheet1!$H16</f>
        <v>2.2000000000000002</v>
      </c>
      <c r="S16" s="41" t="str">
        <v>ok</v>
      </c>
      <c r="T16" s="47" t="str">
        <f>IF(Sheet1!$R16&gt;6,"dead", "Active")</f>
        <v>Active</v>
      </c>
      <c r="U16" s="16">
        <f>Sheet1!$Q16*Sheet1!$L16/100</f>
        <v>1650000</v>
      </c>
      <c r="V16" s="15">
        <f>Sheet1!$H16/Sheet1!$I16</f>
        <v>0.45454545454545453</v>
      </c>
      <c r="W16" s="51" t="str">
        <v>Normal</v>
      </c>
    </row>
    <row r="17" spans="2:23" ht="15.75" thickBot="1" x14ac:dyDescent="0.3">
      <c r="B17" s="38" t="s">
        <v>11</v>
      </c>
      <c r="C17" s="17" t="s">
        <v>34</v>
      </c>
      <c r="D17" s="17" t="s">
        <v>40</v>
      </c>
      <c r="E17" s="17" t="s">
        <v>47</v>
      </c>
      <c r="F17" s="18">
        <v>150</v>
      </c>
      <c r="G17" s="18">
        <v>200</v>
      </c>
      <c r="H17" s="19">
        <v>500</v>
      </c>
      <c r="I17" s="19">
        <v>900</v>
      </c>
      <c r="J17" s="19">
        <v>700</v>
      </c>
      <c r="K17" s="19">
        <v>6</v>
      </c>
      <c r="L17" s="20">
        <v>8</v>
      </c>
      <c r="M17" s="21">
        <f>Sheet1!$G17*Sheet1!$H17</f>
        <v>100000</v>
      </c>
      <c r="N17" s="21">
        <f>Sheet1!$G17-Sheet1!$F17</f>
        <v>50</v>
      </c>
      <c r="O17" s="21">
        <f>Sheet1!$N17*Sheet1!$H17</f>
        <v>25000</v>
      </c>
      <c r="P17" s="22">
        <f>Sheet1!$O17/Sheet1!$M17*100</f>
        <v>25</v>
      </c>
      <c r="Q17" s="21">
        <f>Sheet1!$F17*Sheet1!$I17</f>
        <v>135000</v>
      </c>
      <c r="R17" s="22">
        <f>Sheet1!$I17/Sheet1!$H17</f>
        <v>1.8</v>
      </c>
      <c r="S17" s="42" t="str">
        <v>ok</v>
      </c>
      <c r="T17" s="47" t="str">
        <f>IF(Sheet1!$R17&gt;6,"dead", "Active")</f>
        <v>Active</v>
      </c>
      <c r="U17" s="23">
        <f>Sheet1!$Q17*Sheet1!$L17/100</f>
        <v>10800</v>
      </c>
      <c r="V17" s="22">
        <f>Sheet1!$H17/Sheet1!$I17</f>
        <v>0.55555555555555558</v>
      </c>
      <c r="W17" s="52" t="str">
        <v>Fast</v>
      </c>
    </row>
    <row r="18" spans="2:23" ht="15.75" thickBot="1" x14ac:dyDescent="0.3">
      <c r="B18" s="37" t="s">
        <v>12</v>
      </c>
      <c r="C18" s="10" t="s">
        <v>35</v>
      </c>
      <c r="D18" s="10" t="s">
        <v>40</v>
      </c>
      <c r="E18" s="10" t="s">
        <v>47</v>
      </c>
      <c r="F18" s="11">
        <v>750</v>
      </c>
      <c r="G18" s="11">
        <v>900</v>
      </c>
      <c r="H18" s="12">
        <v>40</v>
      </c>
      <c r="I18" s="12">
        <v>200</v>
      </c>
      <c r="J18" s="12">
        <v>70</v>
      </c>
      <c r="K18" s="12">
        <v>6</v>
      </c>
      <c r="L18" s="13">
        <v>14</v>
      </c>
      <c r="M18" s="14">
        <f>Sheet1!$G18*Sheet1!$H18</f>
        <v>36000</v>
      </c>
      <c r="N18" s="14">
        <f>Sheet1!$G18-Sheet1!$F18</f>
        <v>150</v>
      </c>
      <c r="O18" s="14">
        <f>Sheet1!$N18*Sheet1!$H18</f>
        <v>6000</v>
      </c>
      <c r="P18" s="15">
        <f>Sheet1!$O18/Sheet1!$M18*100</f>
        <v>16.666666666666664</v>
      </c>
      <c r="Q18" s="14">
        <f>Sheet1!$F18*Sheet1!$I18</f>
        <v>150000</v>
      </c>
      <c r="R18" s="15">
        <f>Sheet1!$I18/Sheet1!$H18</f>
        <v>5</v>
      </c>
      <c r="S18" s="41" t="str">
        <v>ok</v>
      </c>
      <c r="T18" s="47" t="str">
        <f>IF(Sheet1!$R18&gt;6,"dead", "Active")</f>
        <v>Active</v>
      </c>
      <c r="U18" s="16">
        <f>Sheet1!$Q18*Sheet1!$L18/100</f>
        <v>21000</v>
      </c>
      <c r="V18" s="15">
        <f>Sheet1!$H18/Sheet1!$I18</f>
        <v>0.2</v>
      </c>
      <c r="W18" s="51" t="str">
        <v>Slow</v>
      </c>
    </row>
    <row r="19" spans="2:23" ht="15.75" thickBot="1" x14ac:dyDescent="0.3">
      <c r="B19" s="38" t="s">
        <v>13</v>
      </c>
      <c r="C19" s="17" t="s">
        <v>36</v>
      </c>
      <c r="D19" s="17" t="s">
        <v>40</v>
      </c>
      <c r="E19" s="17" t="s">
        <v>48</v>
      </c>
      <c r="F19" s="18">
        <v>15000</v>
      </c>
      <c r="G19" s="18">
        <v>20000</v>
      </c>
      <c r="H19" s="19">
        <v>25</v>
      </c>
      <c r="I19" s="19">
        <v>140</v>
      </c>
      <c r="J19" s="19">
        <v>250</v>
      </c>
      <c r="K19" s="19">
        <v>4</v>
      </c>
      <c r="L19" s="20">
        <v>24</v>
      </c>
      <c r="M19" s="21">
        <f>Sheet1!$G19*Sheet1!$H19</f>
        <v>500000</v>
      </c>
      <c r="N19" s="21">
        <f>Sheet1!$G19-Sheet1!$F19</f>
        <v>5000</v>
      </c>
      <c r="O19" s="21">
        <f>Sheet1!$N19*Sheet1!$H19</f>
        <v>125000</v>
      </c>
      <c r="P19" s="22">
        <f>Sheet1!$O19/Sheet1!$M19*100</f>
        <v>25</v>
      </c>
      <c r="Q19" s="21">
        <f>Sheet1!$F19*Sheet1!$I19</f>
        <v>2100000</v>
      </c>
      <c r="R19" s="22">
        <f>Sheet1!$I19/Sheet1!$H19</f>
        <v>5.6</v>
      </c>
      <c r="S19" s="42" t="str">
        <v>Restock</v>
      </c>
      <c r="T19" s="47" t="str">
        <f>IF(Sheet1!$R19&gt;6,"dead", "Active")</f>
        <v>Active</v>
      </c>
      <c r="U19" s="23">
        <f>Sheet1!$Q19*Sheet1!$L19/100</f>
        <v>504000</v>
      </c>
      <c r="V19" s="22">
        <f>Sheet1!$H19/Sheet1!$I19</f>
        <v>0.17857142857142858</v>
      </c>
      <c r="W19" s="52" t="str">
        <v>Slow</v>
      </c>
    </row>
    <row r="20" spans="2:23" ht="15.75" thickBot="1" x14ac:dyDescent="0.3">
      <c r="B20" s="37" t="s">
        <v>14</v>
      </c>
      <c r="C20" s="10" t="s">
        <v>38</v>
      </c>
      <c r="D20" s="10" t="s">
        <v>40</v>
      </c>
      <c r="E20" s="10" t="s">
        <v>48</v>
      </c>
      <c r="F20" s="11">
        <v>50</v>
      </c>
      <c r="G20" s="11">
        <v>90</v>
      </c>
      <c r="H20" s="12">
        <v>0</v>
      </c>
      <c r="I20" s="12">
        <v>10</v>
      </c>
      <c r="J20" s="12">
        <v>1000</v>
      </c>
      <c r="K20" s="12">
        <v>4</v>
      </c>
      <c r="L20" s="13">
        <v>10</v>
      </c>
      <c r="M20" s="14">
        <f>Sheet1!$G20*Sheet1!$H20</f>
        <v>0</v>
      </c>
      <c r="N20" s="14">
        <f>Sheet1!$G20-Sheet1!$F20</f>
        <v>40</v>
      </c>
      <c r="O20" s="14">
        <f>Sheet1!$N20*Sheet1!$H20</f>
        <v>0</v>
      </c>
      <c r="P20" s="15">
        <v>0</v>
      </c>
      <c r="Q20" s="14">
        <f>Sheet1!$F20*Sheet1!$I20</f>
        <v>500</v>
      </c>
      <c r="R20" s="15">
        <v>10</v>
      </c>
      <c r="S20" s="41" t="s">
        <v>63</v>
      </c>
      <c r="T20" s="47" t="str">
        <f>IF(Sheet1!$R20&gt;6,"dead", "Active")</f>
        <v>dead</v>
      </c>
      <c r="U20" s="16">
        <f>Sheet1!$Q20*Sheet1!$L20/100</f>
        <v>50</v>
      </c>
      <c r="V20" s="15">
        <f>Sheet1!$H20/Sheet1!$I20</f>
        <v>0</v>
      </c>
      <c r="W20" s="51" t="str">
        <v>Slow</v>
      </c>
    </row>
    <row r="21" spans="2:23" x14ac:dyDescent="0.25">
      <c r="B21" s="38" t="s">
        <v>15</v>
      </c>
      <c r="C21" s="17" t="s">
        <v>39</v>
      </c>
      <c r="D21" s="17" t="s">
        <v>42</v>
      </c>
      <c r="E21" s="17" t="s">
        <v>48</v>
      </c>
      <c r="F21" s="18">
        <v>7000</v>
      </c>
      <c r="G21" s="18">
        <v>9000</v>
      </c>
      <c r="H21" s="19">
        <v>15</v>
      </c>
      <c r="I21" s="19">
        <v>60</v>
      </c>
      <c r="J21" s="19">
        <v>35</v>
      </c>
      <c r="K21" s="19">
        <v>4</v>
      </c>
      <c r="L21" s="20">
        <v>30</v>
      </c>
      <c r="M21" s="21">
        <f>Sheet1!$G21*Sheet1!$H21</f>
        <v>135000</v>
      </c>
      <c r="N21" s="21">
        <f>Sheet1!$G21-Sheet1!$F21</f>
        <v>2000</v>
      </c>
      <c r="O21" s="21">
        <f>Sheet1!$N21*Sheet1!$H21</f>
        <v>30000</v>
      </c>
      <c r="P21" s="22">
        <f>Sheet1!$O21/Sheet1!$M21*100</f>
        <v>22.222222222222221</v>
      </c>
      <c r="Q21" s="21">
        <f>Sheet1!$F21*Sheet1!$I21</f>
        <v>420000</v>
      </c>
      <c r="R21" s="22">
        <f>Sheet1!$I21/Sheet1!$H21</f>
        <v>4</v>
      </c>
      <c r="S21" s="43" t="s">
        <v>103</v>
      </c>
      <c r="T21" s="48" t="str">
        <f>IF(Sheet1!$R21&gt;6,"dead", "Active")</f>
        <v>Active</v>
      </c>
      <c r="U21" s="25">
        <f>Sheet1!$Q21*Sheet1!$L21/100</f>
        <v>126000</v>
      </c>
      <c r="V21" s="24">
        <f>Sheet1!$H21/Sheet1!$I21</f>
        <v>0.25</v>
      </c>
      <c r="W21" s="53" t="str">
        <v>Normal</v>
      </c>
    </row>
    <row r="24" spans="2:23" x14ac:dyDescent="0.25">
      <c r="Q24" s="1"/>
    </row>
    <row r="25" spans="2:23" x14ac:dyDescent="0.25">
      <c r="Q25" s="1"/>
    </row>
  </sheetData>
  <mergeCells count="5">
    <mergeCell ref="B5:R5"/>
    <mergeCell ref="B2:D2"/>
    <mergeCell ref="B3:D3"/>
    <mergeCell ref="B4:D4"/>
    <mergeCell ref="F3:G3"/>
  </mergeCells>
  <phoneticPr fontId="1" type="noConversion"/>
  <hyperlinks>
    <hyperlink ref="F3" location="DASHBOARD!A1" display="DASHBOARD" xr:uid="{E2FD813D-2E7E-4339-927D-997132EB3FEF}"/>
  </hyperlinks>
  <pageMargins left="0.7" right="0.7" top="0.75" bottom="0.75" header="0.3" footer="0.3"/>
  <pageSetup paperSize="9" orientation="portrait" r:id="rId1"/>
  <drawing r:id="rId2"/>
  <tableParts count="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2F8F2-0FFD-49BE-8B65-14165DAF20A9}">
  <sheetPr>
    <tabColor theme="4" tint="-0.499984740745262"/>
  </sheetPr>
  <dimension ref="A1:K51"/>
  <sheetViews>
    <sheetView showGridLines="0" showRowColHeaders="0" tabSelected="1" topLeftCell="A2" zoomScale="72" zoomScaleNormal="72" workbookViewId="0">
      <selection activeCell="R17" sqref="R17"/>
    </sheetView>
  </sheetViews>
  <sheetFormatPr defaultRowHeight="15" x14ac:dyDescent="0.25"/>
  <cols>
    <col min="1" max="1" width="5.28515625" customWidth="1"/>
    <col min="3" max="3" width="23.42578125" customWidth="1"/>
    <col min="4" max="4" width="10" customWidth="1"/>
    <col min="5" max="5" width="22.85546875" customWidth="1"/>
    <col min="7" max="7" width="23.28515625" customWidth="1"/>
    <col min="9" max="9" width="24.28515625" customWidth="1"/>
    <col min="11" max="11" width="22.42578125" customWidth="1"/>
    <col min="13" max="13" width="24" customWidth="1"/>
    <col min="15" max="15" width="21" customWidth="1"/>
  </cols>
  <sheetData>
    <row r="1" spans="1:11" x14ac:dyDescent="0.25">
      <c r="E1" s="35"/>
    </row>
    <row r="2" spans="1:11" ht="25.5" customHeight="1" x14ac:dyDescent="0.4">
      <c r="C2" s="85" t="s">
        <v>104</v>
      </c>
      <c r="D2" s="85"/>
      <c r="E2" s="85"/>
      <c r="F2" s="85"/>
      <c r="G2" s="85"/>
      <c r="H2" s="85"/>
      <c r="I2" s="85"/>
      <c r="J2" s="85"/>
      <c r="K2" s="85"/>
    </row>
    <row r="3" spans="1:11" ht="18" customHeight="1" x14ac:dyDescent="0.3">
      <c r="C3" s="70"/>
      <c r="E3" s="70"/>
      <c r="G3" s="70"/>
      <c r="I3" s="70"/>
      <c r="K3" s="70"/>
    </row>
    <row r="4" spans="1:11" ht="26.25" x14ac:dyDescent="0.4">
      <c r="C4" s="69">
        <v>5038500</v>
      </c>
      <c r="E4" s="71">
        <v>1581000</v>
      </c>
      <c r="G4" s="72">
        <v>0.31519999999999998</v>
      </c>
      <c r="I4" s="71">
        <v>9595500</v>
      </c>
      <c r="K4" s="71">
        <v>500</v>
      </c>
    </row>
    <row r="5" spans="1:11" ht="17.25" x14ac:dyDescent="0.3">
      <c r="C5" s="66" t="s">
        <v>83</v>
      </c>
      <c r="E5" s="66" t="s">
        <v>84</v>
      </c>
      <c r="G5" s="66" t="s">
        <v>85</v>
      </c>
      <c r="I5" s="66" t="s">
        <v>53</v>
      </c>
      <c r="K5" s="66" t="s">
        <v>86</v>
      </c>
    </row>
    <row r="8" spans="1:11" ht="21" x14ac:dyDescent="0.35">
      <c r="A8" s="30"/>
      <c r="B8" s="30"/>
      <c r="C8" s="30"/>
    </row>
    <row r="12" spans="1:11" ht="24" customHeight="1" x14ac:dyDescent="0.25"/>
    <row r="14" spans="1:11" x14ac:dyDescent="0.25">
      <c r="B14" s="34"/>
      <c r="C14" s="34"/>
      <c r="D14" s="34"/>
    </row>
    <row r="40" spans="1:10" ht="23.25" x14ac:dyDescent="0.35">
      <c r="B40" s="59" t="s">
        <v>91</v>
      </c>
      <c r="C40" s="54"/>
      <c r="D40" s="55"/>
      <c r="E40" s="55"/>
      <c r="F40" s="55"/>
      <c r="G40" s="55"/>
      <c r="H40" s="55"/>
      <c r="I40" s="56"/>
      <c r="J40" s="35"/>
    </row>
    <row r="41" spans="1:10" ht="15.75" x14ac:dyDescent="0.25">
      <c r="A41" s="29"/>
      <c r="B41" s="61" t="s">
        <v>96</v>
      </c>
      <c r="C41" s="60"/>
      <c r="D41" s="60"/>
      <c r="E41" s="60"/>
      <c r="F41" s="60"/>
      <c r="G41" s="60"/>
      <c r="H41" s="60"/>
      <c r="I41" s="64"/>
      <c r="J41" s="35"/>
    </row>
    <row r="42" spans="1:10" ht="15.75" x14ac:dyDescent="0.25">
      <c r="A42" s="29"/>
      <c r="B42" s="61" t="s">
        <v>98</v>
      </c>
      <c r="C42" s="60"/>
      <c r="D42" s="60"/>
      <c r="E42" s="60"/>
      <c r="F42" s="60"/>
      <c r="G42" s="60"/>
      <c r="H42" s="60"/>
      <c r="I42" s="64"/>
      <c r="J42" s="35"/>
    </row>
    <row r="43" spans="1:10" ht="15.75" x14ac:dyDescent="0.25">
      <c r="A43" s="29"/>
      <c r="B43" s="61" t="s">
        <v>93</v>
      </c>
      <c r="C43" s="60"/>
      <c r="D43" s="60"/>
      <c r="E43" s="60"/>
      <c r="F43" s="60"/>
      <c r="G43" s="60"/>
      <c r="H43" s="60"/>
      <c r="I43" s="64"/>
      <c r="J43" s="35"/>
    </row>
    <row r="44" spans="1:10" ht="15.75" x14ac:dyDescent="0.25">
      <c r="A44" s="29"/>
      <c r="B44" s="61" t="s">
        <v>97</v>
      </c>
      <c r="C44" s="60"/>
      <c r="D44" s="60"/>
      <c r="E44" s="60"/>
      <c r="F44" s="60"/>
      <c r="G44" s="60"/>
      <c r="H44" s="60"/>
      <c r="I44" s="64"/>
      <c r="J44" s="35"/>
    </row>
    <row r="45" spans="1:10" ht="15.75" x14ac:dyDescent="0.25">
      <c r="A45" s="29"/>
      <c r="B45" s="62" t="s">
        <v>94</v>
      </c>
      <c r="C45" s="63"/>
      <c r="D45" s="63"/>
      <c r="E45" s="63"/>
      <c r="F45" s="63"/>
      <c r="G45" s="63"/>
      <c r="H45" s="63"/>
      <c r="I45" s="65"/>
      <c r="J45" s="35"/>
    </row>
    <row r="47" spans="1:10" ht="23.25" x14ac:dyDescent="0.35">
      <c r="B47" s="59" t="s">
        <v>92</v>
      </c>
      <c r="C47" s="55"/>
      <c r="D47" s="55"/>
      <c r="E47" s="55"/>
      <c r="F47" s="55"/>
      <c r="G47" s="55"/>
      <c r="H47" s="56"/>
    </row>
    <row r="48" spans="1:10" ht="15.75" x14ac:dyDescent="0.25">
      <c r="A48" s="29"/>
      <c r="B48" s="61" t="s">
        <v>102</v>
      </c>
      <c r="C48" s="60"/>
      <c r="D48" s="60"/>
      <c r="E48" s="60"/>
      <c r="F48" s="60"/>
      <c r="G48" s="60"/>
      <c r="H48" s="57"/>
    </row>
    <row r="49" spans="1:8" ht="15.75" x14ac:dyDescent="0.25">
      <c r="A49" s="29"/>
      <c r="B49" s="61" t="s">
        <v>99</v>
      </c>
      <c r="C49" s="60"/>
      <c r="D49" s="60"/>
      <c r="E49" s="60"/>
      <c r="F49" s="60"/>
      <c r="G49" s="60"/>
      <c r="H49" s="57"/>
    </row>
    <row r="50" spans="1:8" ht="15.75" x14ac:dyDescent="0.25">
      <c r="A50" s="29"/>
      <c r="B50" s="61" t="s">
        <v>100</v>
      </c>
      <c r="C50" s="60"/>
      <c r="D50" s="60"/>
      <c r="E50" s="60"/>
      <c r="F50" s="60"/>
      <c r="G50" s="60"/>
      <c r="H50" s="57"/>
    </row>
    <row r="51" spans="1:8" ht="15.75" x14ac:dyDescent="0.25">
      <c r="A51" s="29"/>
      <c r="B51" s="62" t="s">
        <v>101</v>
      </c>
      <c r="C51" s="63"/>
      <c r="D51" s="63"/>
      <c r="E51" s="63"/>
      <c r="F51" s="63"/>
      <c r="G51" s="63"/>
      <c r="H51" s="58"/>
    </row>
  </sheetData>
  <mergeCells count="1">
    <mergeCell ref="C2:K2"/>
  </mergeCells>
  <conditionalFormatting sqref="C3">
    <cfRule type="colorScale" priority="18">
      <colorScale>
        <cfvo type="min"/>
        <cfvo type="percentile" val="50"/>
        <cfvo type="max"/>
        <color rgb="FFF8696B"/>
        <color rgb="FFFFEB84"/>
        <color rgb="FF63BE7B"/>
      </colorScale>
    </cfRule>
  </conditionalFormatting>
  <conditionalFormatting sqref="E3">
    <cfRule type="dataBar" priority="17">
      <dataBar>
        <cfvo type="min"/>
        <cfvo type="max"/>
        <color rgb="FF63C384"/>
      </dataBar>
      <extLst>
        <ext xmlns:x14="http://schemas.microsoft.com/office/spreadsheetml/2009/9/main" uri="{B025F937-C7B1-47D3-B67F-A62EFF666E3E}">
          <x14:id>{666158DB-FA9A-48C9-B935-1DDDBD7E6637}</x14:id>
        </ext>
      </extLst>
    </cfRule>
  </conditionalFormatting>
  <conditionalFormatting sqref="I3">
    <cfRule type="dataBar" priority="14">
      <dataBar>
        <cfvo type="min"/>
        <cfvo type="max"/>
        <color rgb="FF63C384"/>
      </dataBar>
      <extLst>
        <ext xmlns:x14="http://schemas.microsoft.com/office/spreadsheetml/2009/9/main" uri="{B025F937-C7B1-47D3-B67F-A62EFF666E3E}">
          <x14:id>{AD2F6D57-DF2B-4AFD-AC17-DC1FA24CEF31}</x14:id>
        </ext>
      </extLst>
    </cfRule>
  </conditionalFormatting>
  <conditionalFormatting sqref="K3">
    <cfRule type="colorScale" priority="15">
      <colorScale>
        <cfvo type="min"/>
        <cfvo type="max"/>
        <color rgb="FFFCFCFF"/>
        <color rgb="FFF8696B"/>
      </colorScale>
    </cfRule>
  </conditionalFormatting>
  <conditionalFormatting sqref="C2">
    <cfRule type="dataBar" priority="11">
      <dataBar>
        <cfvo type="min"/>
        <cfvo type="max"/>
        <color rgb="FF63C384"/>
      </dataBar>
      <extLst>
        <ext xmlns:x14="http://schemas.microsoft.com/office/spreadsheetml/2009/9/main" uri="{B025F937-C7B1-47D3-B67F-A62EFF666E3E}">
          <x14:id>{FB576D79-6782-4866-BABB-033AF1DDA1DB}</x14:id>
        </ext>
      </extLst>
    </cfRule>
  </conditionalFormatting>
  <conditionalFormatting sqref="C5">
    <cfRule type="colorScale" priority="8">
      <colorScale>
        <cfvo type="min"/>
        <cfvo type="percentile" val="50"/>
        <cfvo type="max"/>
        <color rgb="FFF8696B"/>
        <color rgb="FFFFEB84"/>
        <color rgb="FF63BE7B"/>
      </colorScale>
    </cfRule>
  </conditionalFormatting>
  <conditionalFormatting sqref="C4">
    <cfRule type="dataBar" priority="7">
      <dataBar>
        <cfvo type="min"/>
        <cfvo type="max"/>
        <color rgb="FF63C384"/>
      </dataBar>
      <extLst>
        <ext xmlns:x14="http://schemas.microsoft.com/office/spreadsheetml/2009/9/main" uri="{B025F937-C7B1-47D3-B67F-A62EFF666E3E}">
          <x14:id>{01175983-3B84-4909-88AF-2DA4039D6EBE}</x14:id>
        </ext>
      </extLst>
    </cfRule>
  </conditionalFormatting>
  <conditionalFormatting sqref="E4:E5">
    <cfRule type="dataBar" priority="6">
      <dataBar>
        <cfvo type="min"/>
        <cfvo type="max"/>
        <color rgb="FF63C384"/>
      </dataBar>
      <extLst>
        <ext xmlns:x14="http://schemas.microsoft.com/office/spreadsheetml/2009/9/main" uri="{B025F937-C7B1-47D3-B67F-A62EFF666E3E}">
          <x14:id>{820118B5-2034-44DE-A9DB-8663EB5DAE80}</x14:id>
        </ext>
      </extLst>
    </cfRule>
  </conditionalFormatting>
  <conditionalFormatting sqref="E4">
    <cfRule type="dataBar" priority="5">
      <dataBar>
        <cfvo type="min"/>
        <cfvo type="max"/>
        <color rgb="FF63C384"/>
      </dataBar>
      <extLst>
        <ext xmlns:x14="http://schemas.microsoft.com/office/spreadsheetml/2009/9/main" uri="{B025F937-C7B1-47D3-B67F-A62EFF666E3E}">
          <x14:id>{0729959F-30F4-49A8-B264-093D7773EF06}</x14:id>
        </ext>
      </extLst>
    </cfRule>
  </conditionalFormatting>
  <conditionalFormatting sqref="G4">
    <cfRule type="dataBar" priority="4">
      <dataBar>
        <cfvo type="min"/>
        <cfvo type="max"/>
        <color rgb="FF638EC6"/>
      </dataBar>
      <extLst>
        <ext xmlns:x14="http://schemas.microsoft.com/office/spreadsheetml/2009/9/main" uri="{B025F937-C7B1-47D3-B67F-A62EFF666E3E}">
          <x14:id>{0AC42F7A-FEA9-48FE-A949-D0602BD69757}</x14:id>
        </ext>
      </extLst>
    </cfRule>
  </conditionalFormatting>
  <conditionalFormatting sqref="I5">
    <cfRule type="dataBar" priority="3">
      <dataBar>
        <cfvo type="min"/>
        <cfvo type="max"/>
        <color rgb="FF63C384"/>
      </dataBar>
      <extLst>
        <ext xmlns:x14="http://schemas.microsoft.com/office/spreadsheetml/2009/9/main" uri="{B025F937-C7B1-47D3-B67F-A62EFF666E3E}">
          <x14:id>{4FA7C987-5072-4618-A2FD-70EF2DD75B9E}</x14:id>
        </ext>
      </extLst>
    </cfRule>
  </conditionalFormatting>
  <conditionalFormatting sqref="I4">
    <cfRule type="dataBar" priority="2">
      <dataBar>
        <cfvo type="min"/>
        <cfvo type="max"/>
        <color rgb="FF638EC6"/>
      </dataBar>
      <extLst>
        <ext xmlns:x14="http://schemas.microsoft.com/office/spreadsheetml/2009/9/main" uri="{B025F937-C7B1-47D3-B67F-A62EFF666E3E}">
          <x14:id>{44DD3EE7-95D1-4406-8517-931FE1A75A17}</x14:id>
        </ext>
      </extLst>
    </cfRule>
  </conditionalFormatting>
  <conditionalFormatting sqref="K4:K5">
    <cfRule type="colorScale" priority="1">
      <colorScale>
        <cfvo type="min"/>
        <cfvo type="max"/>
        <color rgb="FFFCFCFF"/>
        <color rgb="FFF8696B"/>
      </colorScale>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666158DB-FA9A-48C9-B935-1DDDBD7E6637}">
            <x14:dataBar minLength="0" maxLength="100" border="1" negativeBarBorderColorSameAsPositive="0">
              <x14:cfvo type="autoMin"/>
              <x14:cfvo type="autoMax"/>
              <x14:borderColor rgb="FF63C384"/>
              <x14:negativeFillColor rgb="FFFF0000"/>
              <x14:negativeBorderColor rgb="FFFF0000"/>
              <x14:axisColor rgb="FF000000"/>
            </x14:dataBar>
          </x14:cfRule>
          <xm:sqref>E3</xm:sqref>
        </x14:conditionalFormatting>
        <x14:conditionalFormatting xmlns:xm="http://schemas.microsoft.com/office/excel/2006/main">
          <x14:cfRule type="dataBar" id="{AD2F6D57-DF2B-4AFD-AC17-DC1FA24CEF31}">
            <x14:dataBar minLength="0" maxLength="100" gradient="0">
              <x14:cfvo type="autoMin"/>
              <x14:cfvo type="autoMax"/>
              <x14:negativeFillColor rgb="FFFF0000"/>
              <x14:axisColor rgb="FF000000"/>
            </x14:dataBar>
          </x14:cfRule>
          <xm:sqref>I3</xm:sqref>
        </x14:conditionalFormatting>
        <x14:conditionalFormatting xmlns:xm="http://schemas.microsoft.com/office/excel/2006/main">
          <x14:cfRule type="dataBar" id="{FB576D79-6782-4866-BABB-033AF1DDA1DB}">
            <x14:dataBar minLength="0" maxLength="100" gradient="0">
              <x14:cfvo type="autoMin"/>
              <x14:cfvo type="autoMax"/>
              <x14:negativeFillColor rgb="FFFF0000"/>
              <x14:axisColor rgb="FF000000"/>
            </x14:dataBar>
          </x14:cfRule>
          <xm:sqref>C2</xm:sqref>
        </x14:conditionalFormatting>
        <x14:conditionalFormatting xmlns:xm="http://schemas.microsoft.com/office/excel/2006/main">
          <x14:cfRule type="dataBar" id="{01175983-3B84-4909-88AF-2DA4039D6EBE}">
            <x14:dataBar minLength="0" maxLength="100" gradient="0">
              <x14:cfvo type="autoMin"/>
              <x14:cfvo type="autoMax"/>
              <x14:negativeFillColor rgb="FFFF0000"/>
              <x14:axisColor rgb="FF000000"/>
            </x14:dataBar>
          </x14:cfRule>
          <xm:sqref>C4</xm:sqref>
        </x14:conditionalFormatting>
        <x14:conditionalFormatting xmlns:xm="http://schemas.microsoft.com/office/excel/2006/main">
          <x14:cfRule type="dataBar" id="{820118B5-2034-44DE-A9DB-8663EB5DAE80}">
            <x14:dataBar minLength="0" maxLength="100" border="1" negativeBarBorderColorSameAsPositive="0">
              <x14:cfvo type="autoMin"/>
              <x14:cfvo type="autoMax"/>
              <x14:borderColor rgb="FF63C384"/>
              <x14:negativeFillColor rgb="FFFF0000"/>
              <x14:negativeBorderColor rgb="FFFF0000"/>
              <x14:axisColor rgb="FF000000"/>
            </x14:dataBar>
          </x14:cfRule>
          <xm:sqref>E4:E5</xm:sqref>
        </x14:conditionalFormatting>
        <x14:conditionalFormatting xmlns:xm="http://schemas.microsoft.com/office/excel/2006/main">
          <x14:cfRule type="dataBar" id="{0729959F-30F4-49A8-B264-093D7773EF06}">
            <x14:dataBar minLength="0" maxLength="100" gradient="0">
              <x14:cfvo type="autoMin"/>
              <x14:cfvo type="autoMax"/>
              <x14:negativeFillColor rgb="FFFF0000"/>
              <x14:axisColor rgb="FF000000"/>
            </x14:dataBar>
          </x14:cfRule>
          <xm:sqref>E4</xm:sqref>
        </x14:conditionalFormatting>
        <x14:conditionalFormatting xmlns:xm="http://schemas.microsoft.com/office/excel/2006/main">
          <x14:cfRule type="dataBar" id="{0AC42F7A-FEA9-48FE-A949-D0602BD69757}">
            <x14:dataBar minLength="0" maxLength="100" gradient="0">
              <x14:cfvo type="autoMin"/>
              <x14:cfvo type="autoMax"/>
              <x14:negativeFillColor rgb="FFFF0000"/>
              <x14:axisColor rgb="FF000000"/>
            </x14:dataBar>
          </x14:cfRule>
          <xm:sqref>G4</xm:sqref>
        </x14:conditionalFormatting>
        <x14:conditionalFormatting xmlns:xm="http://schemas.microsoft.com/office/excel/2006/main">
          <x14:cfRule type="dataBar" id="{4FA7C987-5072-4618-A2FD-70EF2DD75B9E}">
            <x14:dataBar minLength="0" maxLength="100" gradient="0">
              <x14:cfvo type="autoMin"/>
              <x14:cfvo type="autoMax"/>
              <x14:negativeFillColor rgb="FFFF0000"/>
              <x14:axisColor rgb="FF000000"/>
            </x14:dataBar>
          </x14:cfRule>
          <xm:sqref>I5</xm:sqref>
        </x14:conditionalFormatting>
        <x14:conditionalFormatting xmlns:xm="http://schemas.microsoft.com/office/excel/2006/main">
          <x14:cfRule type="dataBar" id="{44DD3EE7-95D1-4406-8517-931FE1A75A17}">
            <x14:dataBar minLength="0" maxLength="100" gradient="0">
              <x14:cfvo type="autoMin"/>
              <x14:cfvo type="autoMax"/>
              <x14:negativeFillColor rgb="FFFF0000"/>
              <x14:axisColor rgb="FF000000"/>
            </x14:dataBar>
          </x14:cfRule>
          <xm:sqref>I4</xm:sqref>
        </x14:conditionalFormatting>
      </x14:conditionalFormattings>
    </ex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D7E3E-C073-4CEA-BADD-F192EFDB9B8B}">
  <sheetPr>
    <tabColor theme="9" tint="-0.249977111117893"/>
  </sheetPr>
  <dimension ref="A3:B14"/>
  <sheetViews>
    <sheetView showGridLines="0" workbookViewId="0">
      <selection activeCell="A11" sqref="A11"/>
    </sheetView>
  </sheetViews>
  <sheetFormatPr defaultRowHeight="15" x14ac:dyDescent="0.25"/>
  <cols>
    <col min="1" max="1" width="16.5703125" bestFit="1" customWidth="1"/>
    <col min="2" max="2" width="17.7109375" bestFit="1" customWidth="1"/>
    <col min="3" max="4" width="25.5703125" bestFit="1" customWidth="1"/>
  </cols>
  <sheetData>
    <row r="3" spans="1:2" x14ac:dyDescent="0.25">
      <c r="A3" s="26" t="s">
        <v>64</v>
      </c>
      <c r="B3" t="s">
        <v>60</v>
      </c>
    </row>
    <row r="4" spans="1:2" x14ac:dyDescent="0.25">
      <c r="A4" s="67" t="s">
        <v>27</v>
      </c>
      <c r="B4" s="27">
        <v>12000</v>
      </c>
    </row>
    <row r="5" spans="1:2" x14ac:dyDescent="0.25">
      <c r="A5" s="67" t="s">
        <v>29</v>
      </c>
      <c r="B5" s="27">
        <v>14000</v>
      </c>
    </row>
    <row r="6" spans="1:2" x14ac:dyDescent="0.25">
      <c r="A6" s="67" t="s">
        <v>25</v>
      </c>
      <c r="B6" s="27">
        <v>15000</v>
      </c>
    </row>
    <row r="7" spans="1:2" x14ac:dyDescent="0.25">
      <c r="A7" s="67" t="s">
        <v>32</v>
      </c>
      <c r="B7" s="27">
        <v>15000</v>
      </c>
    </row>
    <row r="8" spans="1:2" x14ac:dyDescent="0.25">
      <c r="A8" s="67" t="s">
        <v>28</v>
      </c>
      <c r="B8" s="27">
        <v>20000</v>
      </c>
    </row>
    <row r="9" spans="1:2" x14ac:dyDescent="0.25">
      <c r="A9" s="67" t="s">
        <v>34</v>
      </c>
      <c r="B9" s="27">
        <v>25000</v>
      </c>
    </row>
    <row r="10" spans="1:2" x14ac:dyDescent="0.25">
      <c r="A10" s="67" t="s">
        <v>39</v>
      </c>
      <c r="B10" s="27">
        <v>30000</v>
      </c>
    </row>
    <row r="11" spans="1:2" x14ac:dyDescent="0.25">
      <c r="A11" s="67" t="s">
        <v>33</v>
      </c>
      <c r="B11" s="27">
        <v>40000</v>
      </c>
    </row>
    <row r="12" spans="1:2" x14ac:dyDescent="0.25">
      <c r="A12" s="67" t="s">
        <v>36</v>
      </c>
      <c r="B12" s="27">
        <v>125000</v>
      </c>
    </row>
    <row r="13" spans="1:2" x14ac:dyDescent="0.25">
      <c r="A13" s="67" t="s">
        <v>37</v>
      </c>
      <c r="B13" s="27">
        <v>1250000</v>
      </c>
    </row>
    <row r="14" spans="1:2" x14ac:dyDescent="0.25">
      <c r="A14" s="67" t="s">
        <v>59</v>
      </c>
      <c r="B14" s="27">
        <v>1546000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EBC3F-F86C-4567-A988-FDE88E4BD277}">
  <sheetPr>
    <tabColor theme="6" tint="-0.249977111117893"/>
  </sheetPr>
  <dimension ref="A3:D10"/>
  <sheetViews>
    <sheetView showGridLines="0" workbookViewId="0">
      <selection activeCell="G10" sqref="G10"/>
    </sheetView>
  </sheetViews>
  <sheetFormatPr defaultRowHeight="15" x14ac:dyDescent="0.25"/>
  <cols>
    <col min="1" max="1" width="11.5703125" bestFit="1" customWidth="1"/>
    <col min="2" max="2" width="11.28515625" bestFit="1" customWidth="1"/>
    <col min="3" max="3" width="15.42578125" bestFit="1" customWidth="1"/>
    <col min="4" max="4" width="17.7109375" bestFit="1" customWidth="1"/>
    <col min="5" max="5" width="10" bestFit="1" customWidth="1"/>
    <col min="6" max="7" width="9.7109375" bestFit="1" customWidth="1"/>
    <col min="8" max="8" width="11.28515625" bestFit="1" customWidth="1"/>
  </cols>
  <sheetData>
    <row r="3" spans="1:4" x14ac:dyDescent="0.25">
      <c r="A3" s="26" t="s">
        <v>65</v>
      </c>
      <c r="B3" s="29" t="s">
        <v>61</v>
      </c>
      <c r="C3" s="29" t="s">
        <v>62</v>
      </c>
      <c r="D3" t="s">
        <v>69</v>
      </c>
    </row>
    <row r="4" spans="1:4" x14ac:dyDescent="0.25">
      <c r="A4" s="67" t="s">
        <v>43</v>
      </c>
      <c r="B4" s="27">
        <v>42000</v>
      </c>
      <c r="C4" s="27">
        <v>565000</v>
      </c>
      <c r="D4" s="27">
        <v>7</v>
      </c>
    </row>
    <row r="5" spans="1:4" x14ac:dyDescent="0.25">
      <c r="A5" s="67" t="s">
        <v>44</v>
      </c>
      <c r="B5" s="27">
        <v>17000</v>
      </c>
      <c r="C5" s="27">
        <v>130000</v>
      </c>
      <c r="D5" s="27">
        <v>10</v>
      </c>
    </row>
    <row r="6" spans="1:4" x14ac:dyDescent="0.25">
      <c r="A6" s="67" t="s">
        <v>45</v>
      </c>
      <c r="B6" s="27">
        <v>66000</v>
      </c>
      <c r="C6" s="27">
        <v>445000</v>
      </c>
      <c r="D6" s="27">
        <v>5</v>
      </c>
    </row>
    <row r="7" spans="1:4" x14ac:dyDescent="0.25">
      <c r="A7" s="67" t="s">
        <v>46</v>
      </c>
      <c r="B7" s="27">
        <v>1270000</v>
      </c>
      <c r="C7" s="27">
        <v>5650000</v>
      </c>
      <c r="D7" s="27">
        <v>15</v>
      </c>
    </row>
    <row r="8" spans="1:4" x14ac:dyDescent="0.25">
      <c r="A8" s="67" t="s">
        <v>47</v>
      </c>
      <c r="B8" s="27">
        <v>31000</v>
      </c>
      <c r="C8" s="27">
        <v>285000</v>
      </c>
      <c r="D8" s="27">
        <v>6</v>
      </c>
    </row>
    <row r="9" spans="1:4" x14ac:dyDescent="0.25">
      <c r="A9" s="67" t="s">
        <v>48</v>
      </c>
      <c r="B9" s="27">
        <v>155000</v>
      </c>
      <c r="C9" s="27">
        <v>2520500</v>
      </c>
      <c r="D9" s="27">
        <v>4</v>
      </c>
    </row>
    <row r="10" spans="1:4" x14ac:dyDescent="0.25">
      <c r="A10" s="67" t="s">
        <v>59</v>
      </c>
      <c r="B10" s="27">
        <v>1581000</v>
      </c>
      <c r="C10" s="27">
        <v>9595500</v>
      </c>
      <c r="D10" s="28">
        <v>7.333333333333333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465E9-61A8-4899-84D0-13BEBDEA77D4}">
  <sheetPr>
    <tabColor rgb="FFC00000"/>
  </sheetPr>
  <dimension ref="A7:B10"/>
  <sheetViews>
    <sheetView showGridLines="0" workbookViewId="0">
      <selection activeCell="G17" sqref="G17"/>
    </sheetView>
  </sheetViews>
  <sheetFormatPr defaultRowHeight="15" x14ac:dyDescent="0.25"/>
  <cols>
    <col min="1" max="1" width="15" bestFit="1" customWidth="1"/>
    <col min="2" max="2" width="10.28515625" bestFit="1" customWidth="1"/>
    <col min="3" max="3" width="15.85546875" bestFit="1" customWidth="1"/>
  </cols>
  <sheetData>
    <row r="7" spans="1:2" x14ac:dyDescent="0.25">
      <c r="A7" s="26" t="s">
        <v>88</v>
      </c>
      <c r="B7" t="s">
        <v>95</v>
      </c>
    </row>
    <row r="8" spans="1:2" x14ac:dyDescent="0.25">
      <c r="A8" s="67" t="s">
        <v>71</v>
      </c>
      <c r="B8" s="27">
        <v>14</v>
      </c>
    </row>
    <row r="9" spans="1:2" x14ac:dyDescent="0.25">
      <c r="A9" s="67" t="s">
        <v>63</v>
      </c>
      <c r="B9" s="27">
        <v>1</v>
      </c>
    </row>
    <row r="10" spans="1:2" x14ac:dyDescent="0.25">
      <c r="A10" s="67" t="s">
        <v>59</v>
      </c>
      <c r="B10" s="27">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4E04E-060A-4270-8098-8E7A5E071B9F}">
  <sheetPr>
    <tabColor rgb="FF7030A0"/>
  </sheetPr>
  <dimension ref="A3:C7"/>
  <sheetViews>
    <sheetView showGridLines="0" workbookViewId="0">
      <selection activeCell="C5" sqref="C5"/>
    </sheetView>
  </sheetViews>
  <sheetFormatPr defaultRowHeight="15" x14ac:dyDescent="0.25"/>
  <cols>
    <col min="1" max="1" width="11.28515625" bestFit="1" customWidth="1"/>
    <col min="2" max="2" width="9.7109375" bestFit="1" customWidth="1"/>
    <col min="3" max="3" width="11.7109375" bestFit="1" customWidth="1"/>
  </cols>
  <sheetData>
    <row r="3" spans="1:3" x14ac:dyDescent="0.25">
      <c r="A3" s="26" t="s">
        <v>18</v>
      </c>
      <c r="B3" s="29" t="s">
        <v>66</v>
      </c>
      <c r="C3" s="29" t="s">
        <v>67</v>
      </c>
    </row>
    <row r="4" spans="1:3" x14ac:dyDescent="0.25">
      <c r="A4" s="67" t="s">
        <v>40</v>
      </c>
      <c r="B4" s="27">
        <v>4811500</v>
      </c>
      <c r="C4" s="27">
        <v>1505000</v>
      </c>
    </row>
    <row r="5" spans="1:3" x14ac:dyDescent="0.25">
      <c r="A5" s="67" t="s">
        <v>42</v>
      </c>
      <c r="B5" s="27">
        <v>185000</v>
      </c>
      <c r="C5" s="27">
        <v>50000</v>
      </c>
    </row>
    <row r="6" spans="1:3" x14ac:dyDescent="0.25">
      <c r="A6" s="67" t="s">
        <v>41</v>
      </c>
      <c r="B6" s="27">
        <v>42000</v>
      </c>
      <c r="C6" s="27">
        <v>26000</v>
      </c>
    </row>
    <row r="7" spans="1:3" x14ac:dyDescent="0.25">
      <c r="A7" s="67" t="s">
        <v>59</v>
      </c>
      <c r="B7" s="27">
        <v>5038500</v>
      </c>
      <c r="C7" s="27">
        <v>1581000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BFBC1-8098-4AD8-91C4-DDCFF3F0E1D8}">
  <dimension ref="A3:O22"/>
  <sheetViews>
    <sheetView workbookViewId="0">
      <selection activeCell="G23" sqref="G23"/>
    </sheetView>
  </sheetViews>
  <sheetFormatPr defaultRowHeight="15" x14ac:dyDescent="0.25"/>
  <cols>
    <col min="1" max="1" width="13.140625" bestFit="1" customWidth="1"/>
    <col min="2" max="2" width="11.28515625" bestFit="1" customWidth="1"/>
    <col min="3" max="3" width="12" bestFit="1" customWidth="1"/>
    <col min="4" max="4" width="13.140625" bestFit="1" customWidth="1"/>
    <col min="5" max="5" width="17.7109375" bestFit="1" customWidth="1"/>
    <col min="6" max="6" width="17.85546875" customWidth="1"/>
    <col min="7" max="7" width="18.28515625" customWidth="1"/>
    <col min="8" max="15" width="16.28515625" bestFit="1" customWidth="1"/>
    <col min="16" max="16" width="11.28515625" bestFit="1" customWidth="1"/>
  </cols>
  <sheetData>
    <row r="3" spans="1:15" x14ac:dyDescent="0.25">
      <c r="A3" s="26" t="s">
        <v>70</v>
      </c>
      <c r="B3" t="s">
        <v>61</v>
      </c>
      <c r="D3" t="s">
        <v>16</v>
      </c>
      <c r="E3" s="31" t="s">
        <v>72</v>
      </c>
      <c r="F3" s="31" t="s">
        <v>51</v>
      </c>
      <c r="G3" s="31" t="s">
        <v>53</v>
      </c>
      <c r="H3" s="31" t="s">
        <v>73</v>
      </c>
      <c r="I3" s="31" t="s">
        <v>74</v>
      </c>
      <c r="J3" s="31" t="s">
        <v>75</v>
      </c>
      <c r="K3" s="31" t="s">
        <v>76</v>
      </c>
      <c r="L3" s="31" t="s">
        <v>77</v>
      </c>
      <c r="N3" s="31" t="s">
        <v>80</v>
      </c>
    </row>
    <row r="4" spans="1:15" x14ac:dyDescent="0.25">
      <c r="A4" s="68" t="s">
        <v>43</v>
      </c>
      <c r="B4" s="27">
        <v>42000</v>
      </c>
      <c r="D4" t="s">
        <v>1</v>
      </c>
      <c r="E4" t="s">
        <v>25</v>
      </c>
      <c r="F4" s="1" cm="1">
        <f t="array" ref="F4:G4">VLOOKUP(RAW!D4,Sheet1!B6:Q21,{14,16},0)</f>
        <v>15000</v>
      </c>
      <c r="G4" s="1">
        <v>100000</v>
      </c>
      <c r="H4" s="28" cm="1">
        <f t="array" ref="H4">VLOOKUP(D4,Sheet1!B6:P21,{15},0)</f>
        <v>37.5</v>
      </c>
      <c r="I4" s="1" cm="1">
        <f t="array" ref="I4:J4">VLOOKUP(D4,Sheet1!B6:N21,{5,13},0)</f>
        <v>500</v>
      </c>
      <c r="J4" s="1">
        <v>300</v>
      </c>
      <c r="K4" s="28">
        <f>AVERAGE(H4:H18)</f>
        <v>31.518447783153661</v>
      </c>
      <c r="L4" s="1">
        <f>AVERAGE(I4:I18)</f>
        <v>2891.3333333333335</v>
      </c>
      <c r="N4" t="s">
        <v>78</v>
      </c>
      <c r="O4" t="s">
        <v>79</v>
      </c>
    </row>
    <row r="5" spans="1:15" x14ac:dyDescent="0.25">
      <c r="A5" s="68" t="s">
        <v>44</v>
      </c>
      <c r="B5" s="27">
        <v>17000</v>
      </c>
      <c r="D5" t="s">
        <v>2</v>
      </c>
      <c r="E5" t="s">
        <v>26</v>
      </c>
      <c r="F5" s="1" cm="1">
        <f t="array" ref="F5:G5">VLOOKUP(RAW!D5,Sheet1!B7:Q22,{14,16},0)</f>
        <v>12000</v>
      </c>
      <c r="G5" s="1">
        <v>105000</v>
      </c>
      <c r="H5" s="28" cm="1">
        <f t="array" ref="H5">VLOOKUP(D5,Sheet1!B7:P22,{15},0)</f>
        <v>30</v>
      </c>
      <c r="I5" s="1" cm="1">
        <f t="array" ref="I5:J5">VLOOKUP(D5,Sheet1!B7:N22,{5,13},0)</f>
        <v>700</v>
      </c>
      <c r="J5" s="1">
        <v>300</v>
      </c>
      <c r="K5" s="28"/>
      <c r="N5" s="33">
        <f>MEDIAN(I4:I18)</f>
        <v>600</v>
      </c>
      <c r="O5" s="32">
        <v>0</v>
      </c>
    </row>
    <row r="6" spans="1:15" x14ac:dyDescent="0.25">
      <c r="A6" s="68" t="s">
        <v>45</v>
      </c>
      <c r="B6" s="27">
        <v>66000</v>
      </c>
      <c r="D6" t="s">
        <v>3</v>
      </c>
      <c r="E6" t="s">
        <v>29</v>
      </c>
      <c r="F6" s="1" cm="1">
        <f t="array" ref="F6:G6">VLOOKUP(RAW!D6,Sheet1!B8:Q23,{14,16},0)</f>
        <v>14000</v>
      </c>
      <c r="G6" s="1">
        <v>25000</v>
      </c>
      <c r="H6" s="28" cm="1">
        <f t="array" ref="H6">VLOOKUP(D6,Sheet1!B8:P23,{15},0)</f>
        <v>58.333333333333336</v>
      </c>
      <c r="I6" s="1" cm="1">
        <f t="array" ref="I6:J6">VLOOKUP(D6,Sheet1!B8:N23,{5,13},0)</f>
        <v>50</v>
      </c>
      <c r="J6" s="1">
        <v>70</v>
      </c>
      <c r="K6" s="28"/>
      <c r="N6" s="33">
        <v>600</v>
      </c>
      <c r="O6" s="32">
        <f>MAX(H4:H18)</f>
        <v>66.666666666666657</v>
      </c>
    </row>
    <row r="7" spans="1:15" x14ac:dyDescent="0.25">
      <c r="A7" s="68" t="s">
        <v>46</v>
      </c>
      <c r="B7" s="27">
        <v>1270000</v>
      </c>
      <c r="D7" t="s">
        <v>4</v>
      </c>
      <c r="E7" t="s">
        <v>27</v>
      </c>
      <c r="F7" s="1" cm="1">
        <f t="array" ref="F7:G7">VLOOKUP(RAW!D7,Sheet1!B9:Q24,{14,16},0)</f>
        <v>12000</v>
      </c>
      <c r="G7" s="1">
        <v>20000</v>
      </c>
      <c r="H7" s="28" cm="1">
        <f t="array" ref="H7">VLOOKUP(D7,Sheet1!B9:P24,{15},0)</f>
        <v>66.666666666666657</v>
      </c>
      <c r="I7" s="1" cm="1">
        <f t="array" ref="I7:J7">VLOOKUP(D7,Sheet1!B9:N24,{5,13},0)</f>
        <v>20</v>
      </c>
      <c r="J7" s="1">
        <v>40</v>
      </c>
      <c r="K7" s="28"/>
    </row>
    <row r="8" spans="1:15" x14ac:dyDescent="0.25">
      <c r="A8" s="68" t="s">
        <v>47</v>
      </c>
      <c r="B8" s="27">
        <v>31000</v>
      </c>
      <c r="D8" t="s">
        <v>5</v>
      </c>
      <c r="E8" t="s">
        <v>28</v>
      </c>
      <c r="F8" s="1" cm="1">
        <f t="array" ref="F8:G8">VLOOKUP(RAW!D8,Sheet1!B10:Q25,{14,16},0)</f>
        <v>20000</v>
      </c>
      <c r="G8" s="1">
        <v>150000</v>
      </c>
      <c r="H8" s="28" cm="1">
        <f t="array" ref="H8">VLOOKUP(D8,Sheet1!B10:P25,{15},0)</f>
        <v>40</v>
      </c>
      <c r="I8" s="1" cm="1">
        <f t="array" ref="I8:J8">VLOOKUP(D8,Sheet1!B10:N25,{5,13},0)</f>
        <v>3000</v>
      </c>
      <c r="J8" s="1">
        <v>2000</v>
      </c>
      <c r="K8" s="28"/>
      <c r="N8" t="s">
        <v>81</v>
      </c>
    </row>
    <row r="9" spans="1:15" x14ac:dyDescent="0.25">
      <c r="A9" s="68" t="s">
        <v>48</v>
      </c>
      <c r="B9" s="27">
        <v>155000</v>
      </c>
      <c r="D9" t="s">
        <v>6</v>
      </c>
      <c r="E9" t="s">
        <v>30</v>
      </c>
      <c r="F9" s="1" cm="1">
        <f t="array" ref="F9:G9">VLOOKUP(RAW!D9,Sheet1!B11:Q26,{14,16},0)</f>
        <v>12000</v>
      </c>
      <c r="G9" s="1">
        <v>45000</v>
      </c>
      <c r="H9" s="28" cm="1">
        <f t="array" ref="H9">VLOOKUP(D9,Sheet1!B11:P26,{15},0)</f>
        <v>47.058823529411761</v>
      </c>
      <c r="I9" s="1" cm="1">
        <f t="array" ref="I9:J9">VLOOKUP(D9,Sheet1!B11:N26,{5,13},0)</f>
        <v>450</v>
      </c>
      <c r="J9" s="1">
        <v>400</v>
      </c>
      <c r="K9" s="28"/>
      <c r="N9" t="s">
        <v>78</v>
      </c>
      <c r="O9" t="s">
        <v>79</v>
      </c>
    </row>
    <row r="10" spans="1:15" x14ac:dyDescent="0.25">
      <c r="A10" s="68" t="s">
        <v>59</v>
      </c>
      <c r="B10" s="27">
        <v>1581000</v>
      </c>
      <c r="D10" t="s">
        <v>7</v>
      </c>
      <c r="E10" t="s">
        <v>31</v>
      </c>
      <c r="F10" s="1" cm="1">
        <f t="array" ref="F10:G10">VLOOKUP(RAW!D10,Sheet1!B12:Q27,{14,16},0)</f>
        <v>5000</v>
      </c>
      <c r="G10" s="1">
        <v>25000</v>
      </c>
      <c r="H10" s="28" cm="1">
        <f t="array" ref="H10">VLOOKUP(D10,Sheet1!B12:P27,{15},0)</f>
        <v>33.333333333333329</v>
      </c>
      <c r="I10" s="1" cm="1">
        <f t="array" ref="I10:J10">VLOOKUP(D10,Sheet1!B12:N27,{5,13},0)</f>
        <v>100</v>
      </c>
      <c r="J10" s="1">
        <v>50</v>
      </c>
      <c r="K10" s="28"/>
      <c r="N10" s="32">
        <v>0</v>
      </c>
      <c r="O10" s="32">
        <v>31.52</v>
      </c>
    </row>
    <row r="11" spans="1:15" x14ac:dyDescent="0.25">
      <c r="D11" t="s">
        <v>8</v>
      </c>
      <c r="E11" t="s">
        <v>32</v>
      </c>
      <c r="F11" s="1" cm="1">
        <f t="array" ref="F11:G11">VLOOKUP(RAW!D11,Sheet1!B13:Q28,{14,16},0)</f>
        <v>15000</v>
      </c>
      <c r="G11" s="1">
        <v>420000</v>
      </c>
      <c r="H11" s="28" cm="1">
        <f t="array" ref="H11">VLOOKUP(D11,Sheet1!B13:P28,{15},0)</f>
        <v>9.0909090909090917</v>
      </c>
      <c r="I11" s="1" cm="1">
        <f t="array" ref="I11:J11">VLOOKUP(D11,Sheet1!B13:N28,{5,13},0)</f>
        <v>600</v>
      </c>
      <c r="J11" s="1">
        <v>60</v>
      </c>
      <c r="K11" s="28"/>
      <c r="N11" s="32">
        <f>MAX(I4:I18)</f>
        <v>15000</v>
      </c>
      <c r="O11" s="32">
        <v>31.52</v>
      </c>
    </row>
    <row r="12" spans="1:15" x14ac:dyDescent="0.25">
      <c r="D12" t="s">
        <v>9</v>
      </c>
      <c r="E12" t="s">
        <v>33</v>
      </c>
      <c r="F12" s="1" cm="1">
        <f t="array" ref="F12:G12">VLOOKUP(RAW!D12,Sheet1!B14:Q29,{14,16},0)</f>
        <v>40000</v>
      </c>
      <c r="G12" s="1">
        <v>400000</v>
      </c>
      <c r="H12" s="28" cm="1">
        <f t="array" ref="H12">VLOOKUP(D12,Sheet1!B14:P29,{15},0)</f>
        <v>28.571428571428569</v>
      </c>
      <c r="I12" s="1" cm="1">
        <f t="array" ref="I12:J12">VLOOKUP(D12,Sheet1!B14:N29,{5,13},0)</f>
        <v>5000</v>
      </c>
      <c r="J12" s="1">
        <v>2000</v>
      </c>
      <c r="K12" s="28"/>
    </row>
    <row r="13" spans="1:15" x14ac:dyDescent="0.25">
      <c r="D13" t="s">
        <v>10</v>
      </c>
      <c r="E13" t="s">
        <v>37</v>
      </c>
      <c r="F13" s="1" cm="1">
        <f t="array" ref="F13:G13">VLOOKUP(RAW!D13,Sheet1!B15:Q30,{14,16},0)</f>
        <v>1250000</v>
      </c>
      <c r="G13" s="1">
        <v>5500000</v>
      </c>
      <c r="H13" s="28" cm="1">
        <f t="array" ref="H13">VLOOKUP(D13,Sheet1!B15:P30,{15},0)</f>
        <v>33.333333333333329</v>
      </c>
      <c r="I13" s="1" cm="1">
        <f t="array" ref="I13:J13">VLOOKUP(D13,Sheet1!B15:N30,{5,13},0)</f>
        <v>10000</v>
      </c>
      <c r="J13" s="1">
        <v>5000</v>
      </c>
      <c r="K13" s="28"/>
    </row>
    <row r="14" spans="1:15" x14ac:dyDescent="0.25">
      <c r="D14" t="s">
        <v>11</v>
      </c>
      <c r="E14" t="s">
        <v>34</v>
      </c>
      <c r="F14" s="1" cm="1">
        <f t="array" ref="F14:G14">VLOOKUP(RAW!D14,Sheet1!B16:Q31,{14,16},0)</f>
        <v>25000</v>
      </c>
      <c r="G14" s="1">
        <v>135000</v>
      </c>
      <c r="H14" s="28" cm="1">
        <f t="array" ref="H14">VLOOKUP(D14,Sheet1!B16:P31,{15},0)</f>
        <v>25</v>
      </c>
      <c r="I14" s="1" cm="1">
        <f t="array" ref="I14:J14">VLOOKUP(D14,Sheet1!B16:N31,{5,13},0)</f>
        <v>150</v>
      </c>
      <c r="J14" s="1">
        <v>50</v>
      </c>
      <c r="K14" s="28"/>
    </row>
    <row r="15" spans="1:15" x14ac:dyDescent="0.25">
      <c r="D15" t="s">
        <v>12</v>
      </c>
      <c r="E15" t="s">
        <v>35</v>
      </c>
      <c r="F15" s="1" cm="1">
        <f t="array" ref="F15:G15">VLOOKUP(RAW!D15,Sheet1!B17:Q32,{14,16},0)</f>
        <v>6000</v>
      </c>
      <c r="G15" s="1">
        <v>150000</v>
      </c>
      <c r="H15" s="28" cm="1">
        <f t="array" ref="H15">VLOOKUP(D15,Sheet1!B17:P32,{15},0)</f>
        <v>16.666666666666664</v>
      </c>
      <c r="I15" s="1" cm="1">
        <f t="array" ref="I15:J15">VLOOKUP(D15,Sheet1!B17:N32,{5,13},0)</f>
        <v>750</v>
      </c>
      <c r="J15" s="1">
        <v>150</v>
      </c>
      <c r="K15" s="28"/>
    </row>
    <row r="16" spans="1:15" x14ac:dyDescent="0.25">
      <c r="D16" t="s">
        <v>13</v>
      </c>
      <c r="E16" t="s">
        <v>82</v>
      </c>
      <c r="F16" s="1">
        <v>125000</v>
      </c>
      <c r="G16" s="1">
        <v>2100000</v>
      </c>
      <c r="H16" s="28" cm="1">
        <f t="array" ref="H16">VLOOKUP(D16,Sheet1!B18:P33,{15},0)</f>
        <v>25</v>
      </c>
      <c r="I16" s="1">
        <v>15000</v>
      </c>
      <c r="J16" s="1">
        <v>5000</v>
      </c>
      <c r="K16" s="28"/>
    </row>
    <row r="17" spans="4:11" x14ac:dyDescent="0.25">
      <c r="D17" t="s">
        <v>14</v>
      </c>
      <c r="E17" t="s">
        <v>38</v>
      </c>
      <c r="F17" s="1" cm="1">
        <f t="array" ref="F17:G17">VLOOKUP(RAW!D17,Sheet1!B19:Q34,{14,16},0)</f>
        <v>0</v>
      </c>
      <c r="G17" s="1">
        <v>500</v>
      </c>
      <c r="H17" s="28" cm="1">
        <f t="array" ref="H17">VLOOKUP(D17,Sheet1!B19:P34,{15},0)</f>
        <v>0</v>
      </c>
      <c r="I17" s="1" cm="1">
        <f t="array" ref="I17:J17">VLOOKUP(D17,Sheet1!B19:N34,{5,13},0)</f>
        <v>50</v>
      </c>
      <c r="J17" s="1">
        <v>40</v>
      </c>
      <c r="K17" s="28"/>
    </row>
    <row r="18" spans="4:11" x14ac:dyDescent="0.25">
      <c r="D18" t="s">
        <v>15</v>
      </c>
      <c r="E18" t="s">
        <v>39</v>
      </c>
      <c r="F18" s="1" cm="1">
        <f t="array" ref="F18:G18">VLOOKUP(RAW!D18,Sheet1!B20:Q35,{14,16},0)</f>
        <v>30000</v>
      </c>
      <c r="G18" s="1">
        <v>420000</v>
      </c>
      <c r="H18" s="28" cm="1">
        <f t="array" ref="H18">VLOOKUP(D18,Sheet1!B20:P35,{15},0)</f>
        <v>22.222222222222221</v>
      </c>
      <c r="I18" s="1" cm="1">
        <f t="array" ref="I18:J18">VLOOKUP(D18,Sheet1!B20:N35,{5,13},0)</f>
        <v>7000</v>
      </c>
      <c r="J18" s="1">
        <v>2000</v>
      </c>
      <c r="K18" s="28"/>
    </row>
    <row r="22" spans="4:11" x14ac:dyDescent="0.25">
      <c r="F22" s="1"/>
      <c r="G22" s="1"/>
      <c r="H22" s="28"/>
      <c r="I22" s="1"/>
      <c r="J22" s="1"/>
    </row>
  </sheetData>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0D5991A-D658-40DE-95FD-3C529F09C22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DASHBOARD</vt:lpstr>
      <vt:lpstr>Analysis</vt:lpstr>
      <vt:lpstr>Supplier_analysis</vt:lpstr>
      <vt:lpstr>Dead_stock</vt:lpstr>
      <vt:lpstr>Category_analysis</vt:lpstr>
      <vt:lpstr>RAW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Walter White</dc:creator>
  <cp:lastModifiedBy>Walter White</cp:lastModifiedBy>
  <dcterms:created xsi:type="dcterms:W3CDTF">2026-03-19T08:37:53Z</dcterms:created>
  <dcterms:modified xsi:type="dcterms:W3CDTF">2026-05-05T06:00:03Z</dcterms:modified>
</cp:coreProperties>
</file>